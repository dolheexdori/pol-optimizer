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ccf411ca064c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기지간_작전거리정보" sheetId="1" r:id="Rfe54b8356358498f"/>
    <x:sheet xmlns:r="http://schemas.openxmlformats.org/officeDocument/2006/relationships" name="요약" sheetId="2" r:id="R7858e74f07964198"/>
    <x:sheet xmlns:r="http://schemas.openxmlformats.org/officeDocument/2006/relationships" name="설정" sheetId="3" r:id="R2125d129958a4d0b"/>
    <x:sheet xmlns:r="http://schemas.openxmlformats.org/officeDocument/2006/relationships" name="위험도기준" sheetId="4" r:id="R9d1ad1dea73b4d42"/>
    <x:sheet xmlns:r="http://schemas.openxmlformats.org/officeDocument/2006/relationships" name="사용안내" sheetId="5" r:id="R9e3c8bf3182c48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9C0006"/>
      </x:font>
      <x:fill>
        <x:patternFill patternType="solid">
          <x:bgColor rgb="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adbdff06bf4309" /><Relationship Type="http://schemas.openxmlformats.org/officeDocument/2006/relationships/theme" Target="/xl/theme/theme1.xml" Id="Rce970764f5c448c7" /><Relationship Type="http://schemas.openxmlformats.org/officeDocument/2006/relationships/sharedStrings" Target="/xl/sharedStrings.xml" Id="R6fca521f19054790" /><Relationship Type="http://schemas.openxmlformats.org/officeDocument/2006/relationships/worksheet" Target="/xl/worksheets/sheet1.xml" Id="Rfe54b8356358498f" /><Relationship Type="http://schemas.openxmlformats.org/officeDocument/2006/relationships/worksheet" Target="/xl/worksheets/sheet2.xml" Id="R7858e74f07964198" /><Relationship Type="http://schemas.openxmlformats.org/officeDocument/2006/relationships/worksheet" Target="/xl/worksheets/sheet3.xml" Id="R2125d129958a4d0b" /><Relationship Type="http://schemas.openxmlformats.org/officeDocument/2006/relationships/worksheet" Target="/xl/worksheets/sheet4.xml" Id="R9d1ad1dea73b4d42" /><Relationship Type="http://schemas.openxmlformats.org/officeDocument/2006/relationships/worksheet" Target="/xl/worksheets/sheet5.xml" Id="R9e3c8bf3182c480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5339d433461465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도로위험도별 구간 수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구간 수</c:v>
          </c:tx>
          <c:cat>
            <c:strRef>
              <c:f>'요약'!$E$2:$E$6</c:f>
              <c:strCache>
                <c:ptCount val="0"/>
              </c:strCache>
            </c:strRef>
          </c:cat>
          <c:val>
            <c:numRef>
              <c:f>'요약'!$F$2:$F$6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339d433461465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perationDistanceTable" displayName="OperationDistanceTable" ref="A1:L73" headerRowCount="1">
  <x:tableColumns count="12">
    <x:tableColumn id="1" name="출발기지ID"/>
    <x:tableColumn id="2" name="출발기지명"/>
    <x:tableColumn id="3" name="도착기지ID"/>
    <x:tableColumn id="4" name="도착기지명"/>
    <x:tableColumn id="5" name="직선거리km"/>
    <x:tableColumn id="6" name="도로계수"/>
    <x:tableColumn id="7" name="도로거리km"/>
    <x:tableColumn id="8" name="예상소요시간분"/>
    <x:tableColumn id="9" name="통행가능여부"/>
    <x:tableColumn id="10" name="도로위험도"/>
    <x:tableColumn id="11" name="작전비용점수"/>
    <x:tableColumn id="12" name="비고"/>
  </x:tableColumns>
  <x:tableStyleInfo name="TableStyleMedium2" showRowStripes="1"/>
</x:table>
</file>

<file path=xl/tables/table2.xml><?xml version="1.0" encoding="utf-8"?>
<x:table xmlns:x="http://schemas.openxmlformats.org/spreadsheetml/2006/main" id="4" name="SummaryTable" displayName="SummaryTable" ref="A1:C11" headerRowCount="1">
  <x:tableColumns count="3">
    <x:tableColumn id="1" name="항목"/>
    <x:tableColumn id="2" name="값"/>
    <x:tableColumn id="3" name="설명"/>
  </x:tableColumns>
  <x:tableStyleInfo name="TableStyleMedium2" showRowStripes="1"/>
</x:table>
</file>

<file path=xl/tables/table3.xml><?xml version="1.0" encoding="utf-8"?>
<x:table xmlns:x="http://schemas.openxmlformats.org/spreadsheetml/2006/main" id="2" name="SettingsTable" displayName="SettingsTable" ref="A1:C8" headerRowCount="1">
  <x:tableColumns count="3">
    <x:tableColumn id="1" name="항목"/>
    <x:tableColumn id="2" name="값"/>
    <x:tableColumn id="3" name="설명"/>
  </x:tableColumns>
  <x:tableStyleInfo name="TableStyleMedium2" showRowStripes="1"/>
</x:table>
</file>

<file path=xl/tables/table4.xml><?xml version="1.0" encoding="utf-8"?>
<x:table xmlns:x="http://schemas.openxmlformats.org/spreadsheetml/2006/main" id="3" name="RiskCriteriaTable" displayName="RiskCriteriaTable" ref="A1:D6" headerRowCount="1">
  <x:tableColumns count="4">
    <x:tableColumn id="1" name="도로위험도"/>
    <x:tableColumn id="2" name="의미"/>
    <x:tableColumn id="3" name="예시 기준"/>
    <x:tableColumn id="4" name="알고리즘 반영 방식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d80bde1b5740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fe54f1adc9f4d0c" /><Relationship Type="http://schemas.openxmlformats.org/officeDocument/2006/relationships/table" Target="/xl/tables/table2.xml" Id="Rec66509df1d14e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1fbd4a79e5044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1282f9f1070420c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13" hidden="0" customWidth="1"/>
    <x:col min="4" max="4" width="16" hidden="0" customWidth="1"/>
    <x:col min="5" max="5" width="12" hidden="0" customWidth="1"/>
    <x:col min="6" max="6" width="10" hidden="0" customWidth="1"/>
    <x:col min="7" max="7" width="12" hidden="0" customWidth="1"/>
    <x:col min="8" max="8" width="15" hidden="0" customWidth="1"/>
    <x:col min="9" max="9" width="13" hidden="0" customWidth="1"/>
    <x:col min="10" max="10" width="11" hidden="0" customWidth="1"/>
    <x:col min="11" max="11" width="14" hidden="0" customWidth="1"/>
    <x:col min="12" max="12" width="38" hidden="0" customWidth="1"/>
  </x:cols>
  <x:sheetData>
    <x:row r="1">
      <x:c r="A1" s="16" t="str">
        <x:v>출발기지ID</x:v>
      </x:c>
      <x:c r="B1" s="16" t="str">
        <x:v>출발기지명</x:v>
      </x:c>
      <x:c r="C1" s="16" t="str">
        <x:v>도착기지ID</x:v>
      </x:c>
      <x:c r="D1" s="16" t="str">
        <x:v>도착기지명</x:v>
      </x:c>
      <x:c r="E1" s="16" t="str">
        <x:v>직선거리km</x:v>
      </x:c>
      <x:c r="F1" s="16" t="str">
        <x:v>도로계수</x:v>
      </x:c>
      <x:c r="G1" s="16" t="str">
        <x:v>도로거리km</x:v>
      </x:c>
      <x:c r="H1" s="16" t="str">
        <x:v>예상소요시간분</x:v>
      </x:c>
      <x:c r="I1" s="16" t="str">
        <x:v>통행가능여부</x:v>
      </x:c>
      <x:c r="J1" s="16" t="str">
        <x:v>도로위험도</x:v>
      </x:c>
      <x:c r="K1" s="16" t="str">
        <x:v>작전비용점수</x:v>
      </x:c>
      <x:c r="L1" s="16" t="str">
        <x:v>비고</x:v>
      </x:c>
    </x:row>
    <x:row r="2">
      <x:c r="A2" s="17" t="str">
        <x:v>DEPOT</x:v>
      </x:c>
      <x:c r="B2" s="17" t="str">
        <x:v>중앙보급기지</x:v>
      </x:c>
      <x:c r="C2" s="17" t="str">
        <x:v>B01</x:v>
      </x:c>
      <x:c r="D2" s="17" t="str">
        <x:v>알파기지</x:v>
      </x:c>
      <x:c r="E2" s="18" t="n">
        <x:v>145.7</x:v>
      </x:c>
      <x:c r="F2" s="18" t="n">
        <x:v>1.21</x:v>
      </x:c>
      <x:c r="G2" s="18" t="n">
        <x:f>ROUND(E2*F2,1)</x:f>
        <x:v>176.3</x:v>
      </x:c>
      <x:c r="H2" s="18" t="n">
        <x:f>ROUND(G2/'설정'!$B$2*60 + J2*'설정'!$B$3,0)</x:f>
        <x:v>197</x:v>
      </x:c>
      <x:c r="I2" s="17" t="str">
        <x:v>Y</x:v>
      </x:c>
      <x:c r="J2" s="19" t="n">
        <x:v>1</x:v>
      </x:c>
      <x:c r="K2" s="18" t="n">
        <x:f>ROUND(G2 + H2*'설정'!$B$4 + J2*'설정'!$B$5 + IF(I2="N",'설정'!$B$6,0),1)</x:f>
        <x:v>255.4</x:v>
      </x:c>
      <x:c r="L2" s="17" t="str">
        <x:v>시뮬레이션용 가상 작전거리. 실제 도로/API 값 아님</x:v>
      </x:c>
    </x:row>
    <x:row r="3">
      <x:c r="A3" s="17" t="str">
        <x:v>DEPOT</x:v>
      </x:c>
      <x:c r="B3" s="17" t="str">
        <x:v>중앙보급기지</x:v>
      </x:c>
      <x:c r="C3" s="17" t="str">
        <x:v>B02</x:v>
      </x:c>
      <x:c r="D3" s="17" t="str">
        <x:v>브라보기지</x:v>
      </x:c>
      <x:c r="E3" s="18" t="n">
        <x:v>121.6</x:v>
      </x:c>
      <x:c r="F3" s="18" t="n">
        <x:v>1.23</x:v>
      </x:c>
      <x:c r="G3" s="18" t="n">
        <x:f>ROUND(E3*F3,1)</x:f>
        <x:v>149.6</x:v>
      </x:c>
      <x:c r="H3" s="18" t="n">
        <x:f>ROUND(G3/'설정'!$B$2*60 + J3*'설정'!$B$3,0)</x:f>
        <x:v>168</x:v>
      </x:c>
      <x:c r="I3" s="17" t="str">
        <x:v>Y</x:v>
      </x:c>
      <x:c r="J3" s="19" t="n">
        <x:v>1</x:v>
      </x:c>
      <x:c r="K3" s="18" t="n">
        <x:f>ROUND(G3 + H3*'설정'!$B$4 + J3*'설정'!$B$5 + IF(I3="N",'설정'!$B$6,0),1)</x:f>
        <x:v>220</x:v>
      </x:c>
      <x:c r="L3" s="17" t="str">
        <x:v>시뮬레이션용 가상 작전거리. 실제 도로/API 값 아님</x:v>
      </x:c>
    </x:row>
    <x:row r="4">
      <x:c r="A4" s="17" t="str">
        <x:v>DEPOT</x:v>
      </x:c>
      <x:c r="B4" s="17" t="str">
        <x:v>중앙보급기지</x:v>
      </x:c>
      <x:c r="C4" s="17" t="str">
        <x:v>B03</x:v>
      </x:c>
      <x:c r="D4" s="17" t="str">
        <x:v>찰리기지</x:v>
      </x:c>
      <x:c r="E4" s="18" t="n">
        <x:v>179.6</x:v>
      </x:c>
      <x:c r="F4" s="18" t="n">
        <x:v>1.31</x:v>
      </x:c>
      <x:c r="G4" s="18" t="n">
        <x:f>ROUND(E4*F4,1)</x:f>
        <x:v>235.3</x:v>
      </x:c>
      <x:c r="H4" s="18" t="n">
        <x:f>ROUND(G4/'설정'!$B$2*60 + J4*'설정'!$B$3,0)</x:f>
        <x:v>272</x:v>
      </x:c>
      <x:c r="I4" s="17" t="str">
        <x:v>Y</x:v>
      </x:c>
      <x:c r="J4" s="19" t="n">
        <x:v>3</x:v>
      </x:c>
      <x:c r="K4" s="18" t="n">
        <x:f>ROUND(G4 + H4*'설정'!$B$4 + J4*'설정'!$B$5 + IF(I4="N",'설정'!$B$6,0),1)</x:f>
        <x:v>376.9</x:v>
      </x:c>
      <x:c r="L4" s="17" t="str">
        <x:v>시뮬레이션용 가상 작전거리. 실제 도로/API 값 아님</x:v>
      </x:c>
    </x:row>
    <x:row r="5">
      <x:c r="A5" s="17" t="str">
        <x:v>DEPOT</x:v>
      </x:c>
      <x:c r="B5" s="17" t="str">
        <x:v>중앙보급기지</x:v>
      </x:c>
      <x:c r="C5" s="17" t="str">
        <x:v>B04</x:v>
      </x:c>
      <x:c r="D5" s="17" t="str">
        <x:v>델타기지</x:v>
      </x:c>
      <x:c r="E5" s="18" t="n">
        <x:v>122.7</x:v>
      </x:c>
      <x:c r="F5" s="18" t="n">
        <x:v>1.16</x:v>
      </x:c>
      <x:c r="G5" s="18" t="n">
        <x:f>ROUND(E5*F5,1)</x:f>
        <x:v>142.3</x:v>
      </x:c>
      <x:c r="H5" s="18" t="n">
        <x:f>ROUND(G5/'설정'!$B$2*60 + J5*'설정'!$B$3,0)</x:f>
        <x:v>160</x:v>
      </x:c>
      <x:c r="I5" s="17" t="str">
        <x:v>Y</x:v>
      </x:c>
      <x:c r="J5" s="19" t="n">
        <x:v>1</x:v>
      </x:c>
      <x:c r="K5" s="18" t="n">
        <x:f>ROUND(G5 + H5*'설정'!$B$4 + J5*'설정'!$B$5 + IF(I5="N",'설정'!$B$6,0),1)</x:f>
        <x:v>210.3</x:v>
      </x:c>
      <x:c r="L5" s="17" t="str">
        <x:v>시뮬레이션용 가상 작전거리. 실제 도로/API 값 아님</x:v>
      </x:c>
    </x:row>
    <x:row r="6">
      <x:c r="A6" s="17" t="str">
        <x:v>DEPOT</x:v>
      </x:c>
      <x:c r="B6" s="17" t="str">
        <x:v>중앙보급기지</x:v>
      </x:c>
      <x:c r="C6" s="17" t="str">
        <x:v>B05</x:v>
      </x:c>
      <x:c r="D6" s="17" t="str">
        <x:v>에코기지</x:v>
      </x:c>
      <x:c r="E6" s="18" t="n">
        <x:v>137</x:v>
      </x:c>
      <x:c r="F6" s="18" t="n">
        <x:v>1.17</x:v>
      </x:c>
      <x:c r="G6" s="18" t="n">
        <x:f>ROUND(E6*F6,1)</x:f>
        <x:v>160.3</x:v>
      </x:c>
      <x:c r="H6" s="18" t="n">
        <x:f>ROUND(G6/'설정'!$B$2*60 + J6*'설정'!$B$3,0)</x:f>
        <x:v>180</x:v>
      </x:c>
      <x:c r="I6" s="17" t="str">
        <x:v>Y</x:v>
      </x:c>
      <x:c r="J6" s="19" t="n">
        <x:v>1</x:v>
      </x:c>
      <x:c r="K6" s="18" t="n">
        <x:f>ROUND(G6 + H6*'설정'!$B$4 + J6*'설정'!$B$5 + IF(I6="N",'설정'!$B$6,0),1)</x:f>
        <x:v>234.3</x:v>
      </x:c>
      <x:c r="L6" s="17" t="str">
        <x:v>시뮬레이션용 가상 작전거리. 실제 도로/API 값 아님</x:v>
      </x:c>
    </x:row>
    <x:row r="7">
      <x:c r="A7" s="17" t="str">
        <x:v>DEPOT</x:v>
      </x:c>
      <x:c r="B7" s="17" t="str">
        <x:v>중앙보급기지</x:v>
      </x:c>
      <x:c r="C7" s="17" t="str">
        <x:v>B06</x:v>
      </x:c>
      <x:c r="D7" s="17" t="str">
        <x:v>폭스트롯기지</x:v>
      </x:c>
      <x:c r="E7" s="18" t="n">
        <x:v>173</x:v>
      </x:c>
      <x:c r="F7" s="18" t="n">
        <x:v>1.24</x:v>
      </x:c>
      <x:c r="G7" s="18" t="n">
        <x:f>ROUND(E7*F7,1)</x:f>
        <x:v>214.5</x:v>
      </x:c>
      <x:c r="H7" s="18" t="n">
        <x:f>ROUND(G7/'설정'!$B$2*60 + J7*'설정'!$B$3,0)</x:f>
        <x:v>244</x:v>
      </x:c>
      <x:c r="I7" s="17" t="str">
        <x:v>Y</x:v>
      </x:c>
      <x:c r="J7" s="19" t="n">
        <x:v>2</x:v>
      </x:c>
      <x:c r="K7" s="18" t="n">
        <x:f>ROUND(G7 + H7*'설정'!$B$4 + J7*'설정'!$B$5 + IF(I7="N",'설정'!$B$6,0),1)</x:f>
        <x:v>327.7</x:v>
      </x:c>
      <x:c r="L7" s="17" t="str">
        <x:v>시뮬레이션용 가상 작전거리. 실제 도로/API 값 아님</x:v>
      </x:c>
    </x:row>
    <x:row r="8">
      <x:c r="A8" s="17" t="str">
        <x:v>DEPOT</x:v>
      </x:c>
      <x:c r="B8" s="17" t="str">
        <x:v>중앙보급기지</x:v>
      </x:c>
      <x:c r="C8" s="17" t="str">
        <x:v>B07</x:v>
      </x:c>
      <x:c r="D8" s="17" t="str">
        <x:v>골프기지</x:v>
      </x:c>
      <x:c r="E8" s="18" t="n">
        <x:v>178.6</x:v>
      </x:c>
      <x:c r="F8" s="18" t="n">
        <x:v>1.27</x:v>
      </x:c>
      <x:c r="G8" s="18" t="n">
        <x:f>ROUND(E8*F8,1)</x:f>
        <x:v>226.8</x:v>
      </x:c>
      <x:c r="H8" s="18" t="n">
        <x:f>ROUND(G8/'설정'!$B$2*60 + J8*'설정'!$B$3,0)</x:f>
        <x:v>252</x:v>
      </x:c>
      <x:c r="I8" s="17" t="str">
        <x:v>Y</x:v>
      </x:c>
      <x:c r="J8" s="19" t="n">
        <x:v>1</x:v>
      </x:c>
      <x:c r="K8" s="18" t="n">
        <x:f>ROUND(G8 + H8*'설정'!$B$4 + J8*'설정'!$B$5 + IF(I8="N",'설정'!$B$6,0),1)</x:f>
        <x:v>322.4</x:v>
      </x:c>
      <x:c r="L8" s="17" t="str">
        <x:v>시뮬레이션용 가상 작전거리. 실제 도로/API 값 아님</x:v>
      </x:c>
    </x:row>
    <x:row r="9">
      <x:c r="A9" s="17" t="str">
        <x:v>DEPOT</x:v>
      </x:c>
      <x:c r="B9" s="17" t="str">
        <x:v>중앙보급기지</x:v>
      </x:c>
      <x:c r="C9" s="17" t="str">
        <x:v>B08</x:v>
      </x:c>
      <x:c r="D9" s="17" t="str">
        <x:v>호텔기지</x:v>
      </x:c>
      <x:c r="E9" s="18" t="n">
        <x:v>140.9</x:v>
      </x:c>
      <x:c r="F9" s="18" t="n">
        <x:v>1.28</x:v>
      </x:c>
      <x:c r="G9" s="18" t="n">
        <x:f>ROUND(E9*F9,1)</x:f>
        <x:v>180.4</x:v>
      </x:c>
      <x:c r="H9" s="18" t="n">
        <x:f>ROUND(G9/'설정'!$B$2*60 + J9*'설정'!$B$3,0)</x:f>
        <x:v>207</x:v>
      </x:c>
      <x:c r="I9" s="17" t="str">
        <x:v>Y</x:v>
      </x:c>
      <x:c r="J9" s="19" t="n">
        <x:v>2</x:v>
      </x:c>
      <x:c r="K9" s="18" t="n">
        <x:f>ROUND(G9 + H9*'설정'!$B$4 + J9*'설정'!$B$5 + IF(I9="N",'설정'!$B$6,0),1)</x:f>
        <x:v>282.5</x:v>
      </x:c>
      <x:c r="L9" s="17" t="str">
        <x:v>시뮬레이션용 가상 작전거리. 실제 도로/API 값 아님</x:v>
      </x:c>
    </x:row>
    <x:row r="10">
      <x:c r="A10" s="17" t="str">
        <x:v>B01</x:v>
      </x:c>
      <x:c r="B10" s="17" t="str">
        <x:v>알파기지</x:v>
      </x:c>
      <x:c r="C10" s="17" t="str">
        <x:v>DEPOT</x:v>
      </x:c>
      <x:c r="D10" s="17" t="str">
        <x:v>중앙보급기지</x:v>
      </x:c>
      <x:c r="E10" s="18" t="n">
        <x:v>145.7</x:v>
      </x:c>
      <x:c r="F10" s="18" t="n">
        <x:v>1.21</x:v>
      </x:c>
      <x:c r="G10" s="18" t="n">
        <x:f>ROUND(E10*F10,1)</x:f>
        <x:v>176.3</x:v>
      </x:c>
      <x:c r="H10" s="18" t="n">
        <x:f>ROUND(G10/'설정'!$B$2*60 + J10*'설정'!$B$3,0)</x:f>
        <x:v>197</x:v>
      </x:c>
      <x:c r="I10" s="17" t="str">
        <x:v>Y</x:v>
      </x:c>
      <x:c r="J10" s="19" t="n">
        <x:v>1</x:v>
      </x:c>
      <x:c r="K10" s="18" t="n">
        <x:f>ROUND(G10 + H10*'설정'!$B$4 + J10*'설정'!$B$5 + IF(I10="N",'설정'!$B$6,0),1)</x:f>
        <x:v>255.4</x:v>
      </x:c>
      <x:c r="L10" s="17" t="str">
        <x:v>시뮬레이션용 가상 작전거리. 실제 도로/API 값 아님</x:v>
      </x:c>
    </x:row>
    <x:row r="11">
      <x:c r="A11" s="17" t="str">
        <x:v>B01</x:v>
      </x:c>
      <x:c r="B11" s="17" t="str">
        <x:v>알파기지</x:v>
      </x:c>
      <x:c r="C11" s="17" t="str">
        <x:v>B02</x:v>
      </x:c>
      <x:c r="D11" s="17" t="str">
        <x:v>브라보기지</x:v>
      </x:c>
      <x:c r="E11" s="18" t="n">
        <x:v>88.8</x:v>
      </x:c>
      <x:c r="F11" s="18" t="n">
        <x:v>1.31</x:v>
      </x:c>
      <x:c r="G11" s="18" t="n">
        <x:f>ROUND(E11*F11,1)</x:f>
        <x:v>116.3</x:v>
      </x:c>
      <x:c r="H11" s="18" t="n">
        <x:f>ROUND(G11/'설정'!$B$2*60 + J11*'설정'!$B$3,0)</x:f>
        <x:v>137</x:v>
      </x:c>
      <x:c r="I11" s="17" t="str">
        <x:v>Y</x:v>
      </x:c>
      <x:c r="J11" s="19" t="n">
        <x:v>2</x:v>
      </x:c>
      <x:c r="K11" s="18" t="n">
        <x:f>ROUND(G11 + H11*'설정'!$B$4 + J11*'설정'!$B$5 + IF(I11="N",'설정'!$B$6,0),1)</x:f>
        <x:v>197.4</x:v>
      </x:c>
      <x:c r="L11" s="17" t="str">
        <x:v>시뮬레이션용 가상 작전거리. 실제 도로/API 값 아님</x:v>
      </x:c>
    </x:row>
    <x:row r="12">
      <x:c r="A12" s="17" t="str">
        <x:v>B01</x:v>
      </x:c>
      <x:c r="B12" s="17" t="str">
        <x:v>알파기지</x:v>
      </x:c>
      <x:c r="C12" s="17" t="str">
        <x:v>B03</x:v>
      </x:c>
      <x:c r="D12" s="17" t="str">
        <x:v>찰리기지</x:v>
      </x:c>
      <x:c r="E12" s="18" t="n">
        <x:v>145.4</x:v>
      </x:c>
      <x:c r="F12" s="18" t="n">
        <x:v>1.31</x:v>
      </x:c>
      <x:c r="G12" s="18" t="n">
        <x:f>ROUND(E12*F12,1)</x:f>
        <x:v>190.5</x:v>
      </x:c>
      <x:c r="H12" s="18" t="n">
        <x:f>ROUND(G12/'설정'!$B$2*60 + J12*'설정'!$B$3,0)</x:f>
        <x:v>223</x:v>
      </x:c>
      <x:c r="I12" s="17" t="str">
        <x:v>Y</x:v>
      </x:c>
      <x:c r="J12" s="19" t="n">
        <x:v>3</x:v>
      </x:c>
      <x:c r="K12" s="18" t="n">
        <x:f>ROUND(G12 + H12*'설정'!$B$4 + J12*'설정'!$B$5 + IF(I12="N",'설정'!$B$6,0),1)</x:f>
        <x:v>317.4</x:v>
      </x:c>
      <x:c r="L12" s="17" t="str">
        <x:v>시뮬레이션용 가상 작전거리. 실제 도로/API 값 아님</x:v>
      </x:c>
    </x:row>
    <x:row r="13">
      <x:c r="A13" s="17" t="str">
        <x:v>B01</x:v>
      </x:c>
      <x:c r="B13" s="17" t="str">
        <x:v>알파기지</x:v>
      </x:c>
      <x:c r="C13" s="17" t="str">
        <x:v>B04</x:v>
      </x:c>
      <x:c r="D13" s="17" t="str">
        <x:v>델타기지</x:v>
      </x:c>
      <x:c r="E13" s="18" t="n">
        <x:v>164.2</x:v>
      </x:c>
      <x:c r="F13" s="18" t="n">
        <x:v>1.16</x:v>
      </x:c>
      <x:c r="G13" s="18" t="n">
        <x:f>ROUND(E13*F13,1)</x:f>
        <x:v>190.5</x:v>
      </x:c>
      <x:c r="H13" s="18" t="n">
        <x:f>ROUND(G13/'설정'!$B$2*60 + J13*'설정'!$B$3,0)</x:f>
        <x:v>213</x:v>
      </x:c>
      <x:c r="I13" s="17" t="str">
        <x:v>Y</x:v>
      </x:c>
      <x:c r="J13" s="19" t="n">
        <x:v>1</x:v>
      </x:c>
      <x:c r="K13" s="18" t="n">
        <x:f>ROUND(G13 + H13*'설정'!$B$4 + J13*'설정'!$B$5 + IF(I13="N",'설정'!$B$6,0),1)</x:f>
        <x:v>274.4</x:v>
      </x:c>
      <x:c r="L13" s="17" t="str">
        <x:v>시뮬레이션용 가상 작전거리. 실제 도로/API 값 아님</x:v>
      </x:c>
    </x:row>
    <x:row r="14">
      <x:c r="A14" s="17" t="str">
        <x:v>B01</x:v>
      </x:c>
      <x:c r="B14" s="17" t="str">
        <x:v>알파기지</x:v>
      </x:c>
      <x:c r="C14" s="17" t="str">
        <x:v>B05</x:v>
      </x:c>
      <x:c r="D14" s="17" t="str">
        <x:v>에코기지</x:v>
      </x:c>
      <x:c r="E14" s="18" t="n">
        <x:v>282.7</x:v>
      </x:c>
      <x:c r="F14" s="18" t="n">
        <x:v>1.13</x:v>
      </x:c>
      <x:c r="G14" s="18" t="n">
        <x:f>ROUND(E14*F14,1)</x:f>
        <x:v>319.5</x:v>
      </x:c>
      <x:c r="H14" s="18" t="n">
        <x:f>ROUND(G14/'설정'!$B$2*60 + J14*'설정'!$B$3,0)</x:f>
        <x:v>364</x:v>
      </x:c>
      <x:c r="I14" s="17" t="str">
        <x:v>Y</x:v>
      </x:c>
      <x:c r="J14" s="19" t="n">
        <x:v>3</x:v>
      </x:c>
      <x:c r="K14" s="18" t="n">
        <x:f>ROUND(G14 + H14*'설정'!$B$4 + J14*'설정'!$B$5 + IF(I14="N",'설정'!$B$6,0),1)</x:f>
        <x:v>488.7</x:v>
      </x:c>
      <x:c r="L14" s="17" t="str">
        <x:v>시뮬레이션용 가상 작전거리. 실제 도로/API 값 아님</x:v>
      </x:c>
    </x:row>
    <x:row r="15">
      <x:c r="A15" s="17" t="str">
        <x:v>B01</x:v>
      </x:c>
      <x:c r="B15" s="17" t="str">
        <x:v>알파기지</x:v>
      </x:c>
      <x:c r="C15" s="17" t="str">
        <x:v>B06</x:v>
      </x:c>
      <x:c r="D15" s="17" t="str">
        <x:v>폭스트롯기지</x:v>
      </x:c>
      <x:c r="E15" s="18" t="n">
        <x:v>302.3</x:v>
      </x:c>
      <x:c r="F15" s="18" t="n">
        <x:v>1.2</x:v>
      </x:c>
      <x:c r="G15" s="18" t="n">
        <x:f>ROUND(E15*F15,1)</x:f>
        <x:v>362.8</x:v>
      </x:c>
      <x:c r="H15" s="18" t="n">
        <x:f>ROUND(G15/'설정'!$B$2*60 + J15*'설정'!$B$3,0)</x:f>
        <x:v>411</x:v>
      </x:c>
      <x:c r="I15" s="17" t="str">
        <x:v>Y</x:v>
      </x:c>
      <x:c r="J15" s="19" t="n">
        <x:v>3</x:v>
      </x:c>
      <x:c r="K15" s="18" t="n">
        <x:f>ROUND(G15 + H15*'설정'!$B$4 + J15*'설정'!$B$5 + IF(I15="N",'설정'!$B$6,0),1)</x:f>
        <x:v>546.1</x:v>
      </x:c>
      <x:c r="L15" s="17" t="str">
        <x:v>시뮬레이션용 가상 작전거리. 실제 도로/API 값 아님</x:v>
      </x:c>
    </x:row>
    <x:row r="16">
      <x:c r="A16" s="17" t="str">
        <x:v>B01</x:v>
      </x:c>
      <x:c r="B16" s="17" t="str">
        <x:v>알파기지</x:v>
      </x:c>
      <x:c r="C16" s="17" t="str">
        <x:v>B07</x:v>
      </x:c>
      <x:c r="D16" s="17" t="str">
        <x:v>골프기지</x:v>
      </x:c>
      <x:c r="E16" s="18" t="n">
        <x:v>62</x:v>
      </x:c>
      <x:c r="F16" s="18" t="n">
        <x:v>1.35</x:v>
      </x:c>
      <x:c r="G16" s="18" t="n">
        <x:f>ROUND(E16*F16,1)</x:f>
        <x:v>83.7</x:v>
      </x:c>
      <x:c r="H16" s="18" t="n">
        <x:f>ROUND(G16/'설정'!$B$2*60 + J16*'설정'!$B$3,0)</x:f>
        <x:v>101</x:v>
      </x:c>
      <x:c r="I16" s="17" t="str">
        <x:v>Y</x:v>
      </x:c>
      <x:c r="J16" s="19" t="n">
        <x:v>2</x:v>
      </x:c>
      <x:c r="K16" s="18" t="n">
        <x:f>ROUND(G16 + H16*'설정'!$B$4 + J16*'설정'!$B$5 + IF(I16="N",'설정'!$B$6,0),1)</x:f>
        <x:v>154</x:v>
      </x:c>
      <x:c r="L16" s="17" t="str">
        <x:v>시뮬레이션용 가상 작전거리. 실제 도로/API 값 아님</x:v>
      </x:c>
    </x:row>
    <x:row r="17">
      <x:c r="A17" s="17" t="str">
        <x:v>B01</x:v>
      </x:c>
      <x:c r="B17" s="17" t="str">
        <x:v>알파기지</x:v>
      </x:c>
      <x:c r="C17" s="17" t="str">
        <x:v>B08</x:v>
      </x:c>
      <x:c r="D17" s="17" t="str">
        <x:v>호텔기지</x:v>
      </x:c>
      <x:c r="E17" s="18" t="n">
        <x:v>114.3</x:v>
      </x:c>
      <x:c r="F17" s="18" t="n">
        <x:v>1.28</x:v>
      </x:c>
      <x:c r="G17" s="18" t="n">
        <x:f>ROUND(E17*F17,1)</x:f>
        <x:v>146.3</x:v>
      </x:c>
      <x:c r="H17" s="18" t="n">
        <x:f>ROUND(G17/'설정'!$B$2*60 + J17*'설정'!$B$3,0)</x:f>
        <x:v>165</x:v>
      </x:c>
      <x:c r="I17" s="17" t="str">
        <x:v>Y</x:v>
      </x:c>
      <x:c r="J17" s="19" t="n">
        <x:v>1</x:v>
      </x:c>
      <x:c r="K17" s="18" t="n">
        <x:f>ROUND(G17 + H17*'설정'!$B$4 + J17*'설정'!$B$5 + IF(I17="N",'설정'!$B$6,0),1)</x:f>
        <x:v>215.8</x:v>
      </x:c>
      <x:c r="L17" s="17" t="str">
        <x:v>시뮬레이션용 가상 작전거리. 실제 도로/API 값 아님</x:v>
      </x:c>
    </x:row>
    <x:row r="18">
      <x:c r="A18" s="17" t="str">
        <x:v>B02</x:v>
      </x:c>
      <x:c r="B18" s="17" t="str">
        <x:v>브라보기지</x:v>
      </x:c>
      <x:c r="C18" s="17" t="str">
        <x:v>DEPOT</x:v>
      </x:c>
      <x:c r="D18" s="17" t="str">
        <x:v>중앙보급기지</x:v>
      </x:c>
      <x:c r="E18" s="18" t="n">
        <x:v>121.6</x:v>
      </x:c>
      <x:c r="F18" s="18" t="n">
        <x:v>1.23</x:v>
      </x:c>
      <x:c r="G18" s="18" t="n">
        <x:f>ROUND(E18*F18,1)</x:f>
        <x:v>149.6</x:v>
      </x:c>
      <x:c r="H18" s="18" t="n">
        <x:f>ROUND(G18/'설정'!$B$2*60 + J18*'설정'!$B$3,0)</x:f>
        <x:v>168</x:v>
      </x:c>
      <x:c r="I18" s="17" t="str">
        <x:v>Y</x:v>
      </x:c>
      <x:c r="J18" s="19" t="n">
        <x:v>1</x:v>
      </x:c>
      <x:c r="K18" s="18" t="n">
        <x:f>ROUND(G18 + H18*'설정'!$B$4 + J18*'설정'!$B$5 + IF(I18="N",'설정'!$B$6,0),1)</x:f>
        <x:v>220</x:v>
      </x:c>
      <x:c r="L18" s="17" t="str">
        <x:v>시뮬레이션용 가상 작전거리. 실제 도로/API 값 아님</x:v>
      </x:c>
    </x:row>
    <x:row r="19">
      <x:c r="A19" s="17" t="str">
        <x:v>B02</x:v>
      </x:c>
      <x:c r="B19" s="17" t="str">
        <x:v>브라보기지</x:v>
      </x:c>
      <x:c r="C19" s="17" t="str">
        <x:v>B01</x:v>
      </x:c>
      <x:c r="D19" s="17" t="str">
        <x:v>알파기지</x:v>
      </x:c>
      <x:c r="E19" s="18" t="n">
        <x:v>88.8</x:v>
      </x:c>
      <x:c r="F19" s="18" t="n">
        <x:v>1.31</x:v>
      </x:c>
      <x:c r="G19" s="18" t="n">
        <x:f>ROUND(E19*F19,1)</x:f>
        <x:v>116.3</x:v>
      </x:c>
      <x:c r="H19" s="18" t="n">
        <x:f>ROUND(G19/'설정'!$B$2*60 + J19*'설정'!$B$3,0)</x:f>
        <x:v>137</x:v>
      </x:c>
      <x:c r="I19" s="17" t="str">
        <x:v>Y</x:v>
      </x:c>
      <x:c r="J19" s="19" t="n">
        <x:v>2</x:v>
      </x:c>
      <x:c r="K19" s="18" t="n">
        <x:f>ROUND(G19 + H19*'설정'!$B$4 + J19*'설정'!$B$5 + IF(I19="N",'설정'!$B$6,0),1)</x:f>
        <x:v>197.4</x:v>
      </x:c>
      <x:c r="L19" s="17" t="str">
        <x:v>시뮬레이션용 가상 작전거리. 실제 도로/API 값 아님</x:v>
      </x:c>
    </x:row>
    <x:row r="20">
      <x:c r="A20" s="17" t="str">
        <x:v>B02</x:v>
      </x:c>
      <x:c r="B20" s="17" t="str">
        <x:v>브라보기지</x:v>
      </x:c>
      <x:c r="C20" s="17" t="str">
        <x:v>B03</x:v>
      </x:c>
      <x:c r="D20" s="17" t="str">
        <x:v>찰리기지</x:v>
      </x:c>
      <x:c r="E20" s="18" t="n">
        <x:v>68.8</x:v>
      </x:c>
      <x:c r="F20" s="18" t="n">
        <x:v>1.31</x:v>
      </x:c>
      <x:c r="G20" s="18" t="n">
        <x:f>ROUND(E20*F20,1)</x:f>
        <x:v>90.1</x:v>
      </x:c>
      <x:c r="H20" s="18" t="n">
        <x:f>ROUND(G20/'설정'!$B$2*60 + J20*'설정'!$B$3,0)</x:f>
        <x:v>113</x:v>
      </x:c>
      <x:c r="I20" s="17" t="str">
        <x:v>Y</x:v>
      </x:c>
      <x:c r="J20" s="19" t="n">
        <x:v>3</x:v>
      </x:c>
      <x:c r="K20" s="18" t="n">
        <x:f>ROUND(G20 + H20*'설정'!$B$4 + J20*'설정'!$B$5 + IF(I20="N",'설정'!$B$6,0),1)</x:f>
        <x:v>184</x:v>
      </x:c>
      <x:c r="L20" s="17" t="str">
        <x:v>시뮬레이션용 가상 작전거리. 실제 도로/API 값 아님</x:v>
      </x:c>
    </x:row>
    <x:row r="21">
      <x:c r="A21" s="17" t="str">
        <x:v>B02</x:v>
      </x:c>
      <x:c r="B21" s="17" t="str">
        <x:v>브라보기지</x:v>
      </x:c>
      <x:c r="C21" s="17" t="str">
        <x:v>B04</x:v>
      </x:c>
      <x:c r="D21" s="17" t="str">
        <x:v>델타기지</x:v>
      </x:c>
      <x:c r="E21" s="18" t="n">
        <x:v>78.3</x:v>
      </x:c>
      <x:c r="F21" s="18" t="n">
        <x:v>1.25</x:v>
      </x:c>
      <x:c r="G21" s="18" t="n">
        <x:f>ROUND(E21*F21,1)</x:f>
        <x:v>97.9</x:v>
      </x:c>
      <x:c r="H21" s="18" t="n">
        <x:f>ROUND(G21/'설정'!$B$2*60 + J21*'설정'!$B$3,0)</x:f>
        <x:v>117</x:v>
      </x:c>
      <x:c r="I21" s="17" t="str">
        <x:v>Y</x:v>
      </x:c>
      <x:c r="J21" s="19" t="n">
        <x:v>2</x:v>
      </x:c>
      <x:c r="K21" s="18" t="n">
        <x:f>ROUND(G21 + H21*'설정'!$B$4 + J21*'설정'!$B$5 + IF(I21="N",'설정'!$B$6,0),1)</x:f>
        <x:v>173</x:v>
      </x:c>
      <x:c r="L21" s="17" t="str">
        <x:v>시뮬레이션용 가상 작전거리. 실제 도로/API 값 아님</x:v>
      </x:c>
    </x:row>
    <x:row r="22">
      <x:c r="A22" s="17" t="str">
        <x:v>B02</x:v>
      </x:c>
      <x:c r="B22" s="17" t="str">
        <x:v>브라보기지</x:v>
      </x:c>
      <x:c r="C22" s="17" t="str">
        <x:v>B05</x:v>
      </x:c>
      <x:c r="D22" s="17" t="str">
        <x:v>에코기지</x:v>
      </x:c>
      <x:c r="E22" s="18" t="n">
        <x:v>244.2</x:v>
      </x:c>
      <x:c r="F22" s="18" t="n">
        <x:v>1.19</x:v>
      </x:c>
      <x:c r="G22" s="18" t="n">
        <x:f>ROUND(E22*F22,1)</x:f>
        <x:v>290.6</x:v>
      </x:c>
      <x:c r="H22" s="18" t="n">
        <x:f>ROUND(G22/'설정'!$B$2*60 + J22*'설정'!$B$3,0)</x:f>
        <x:v>322</x:v>
      </x:c>
      <x:c r="I22" s="17" t="str">
        <x:v>Y</x:v>
      </x:c>
      <x:c r="J22" s="19" t="n">
        <x:v>1</x:v>
      </x:c>
      <x:c r="K22" s="18" t="n">
        <x:f>ROUND(G22 + H22*'설정'!$B$4 + J22*'설정'!$B$5 + IF(I22="N",'설정'!$B$6,0),1)</x:f>
        <x:v>407.2</x:v>
      </x:c>
      <x:c r="L22" s="17" t="str">
        <x:v>시뮬레이션용 가상 작전거리. 실제 도로/API 값 아님</x:v>
      </x:c>
    </x:row>
    <x:row r="23">
      <x:c r="A23" s="17" t="str">
        <x:v>B02</x:v>
      </x:c>
      <x:c r="B23" s="17" t="str">
        <x:v>브라보기지</x:v>
      </x:c>
      <x:c r="C23" s="17" t="str">
        <x:v>B06</x:v>
      </x:c>
      <x:c r="D23" s="17" t="str">
        <x:v>폭스트롯기지</x:v>
      </x:c>
      <x:c r="E23" s="18" t="n">
        <x:v>236.6</x:v>
      </x:c>
      <x:c r="F23" s="18" t="n">
        <x:v>1.25</x:v>
      </x:c>
      <x:c r="G23" s="18" t="n">
        <x:f>ROUND(E23*F23,1)</x:f>
        <x:v>295.8</x:v>
      </x:c>
      <x:c r="H23" s="18" t="n">
        <x:f>ROUND(G23/'설정'!$B$2*60 + J23*'설정'!$B$3,0)</x:f>
        <x:v>333</x:v>
      </x:c>
      <x:c r="I23" s="17" t="str">
        <x:v>Y</x:v>
      </x:c>
      <x:c r="J23" s="19" t="n">
        <x:v>2</x:v>
      </x:c>
      <x:c r="K23" s="18" t="n">
        <x:f>ROUND(G23 + H23*'설정'!$B$4 + J23*'설정'!$B$5 + IF(I23="N",'설정'!$B$6,0),1)</x:f>
        <x:v>435.7</x:v>
      </x:c>
      <x:c r="L23" s="17" t="str">
        <x:v>시뮬레이션용 가상 작전거리. 실제 도로/API 값 아님</x:v>
      </x:c>
    </x:row>
    <x:row r="24">
      <x:c r="A24" s="17" t="str">
        <x:v>B02</x:v>
      </x:c>
      <x:c r="B24" s="17" t="str">
        <x:v>브라보기지</x:v>
      </x:c>
      <x:c r="C24" s="17" t="str">
        <x:v>B07</x:v>
      </x:c>
      <x:c r="D24" s="17" t="str">
        <x:v>골프기지</x:v>
      </x:c>
      <x:c r="E24" s="18" t="n">
        <x:v>150.1</x:v>
      </x:c>
      <x:c r="F24" s="18" t="n">
        <x:v>1.28</x:v>
      </x:c>
      <x:c r="G24" s="18" t="n">
        <x:f>ROUND(E24*F24,1)</x:f>
        <x:v>192.1</x:v>
      </x:c>
      <x:c r="H24" s="18" t="n">
        <x:f>ROUND(G24/'설정'!$B$2*60 + J24*'설정'!$B$3,0)</x:f>
        <x:v>215</x:v>
      </x:c>
      <x:c r="I24" s="17" t="str">
        <x:v>Y</x:v>
      </x:c>
      <x:c r="J24" s="19" t="n">
        <x:v>1</x:v>
      </x:c>
      <x:c r="K24" s="18" t="n">
        <x:f>ROUND(G24 + H24*'설정'!$B$4 + J24*'설정'!$B$5 + IF(I24="N",'설정'!$B$6,0),1)</x:f>
        <x:v>276.6</x:v>
      </x:c>
      <x:c r="L24" s="17" t="str">
        <x:v>시뮬레이션용 가상 작전거리. 실제 도로/API 값 아님</x:v>
      </x:c>
    </x:row>
    <x:row r="25">
      <x:c r="A25" s="17" t="str">
        <x:v>B02</x:v>
      </x:c>
      <x:c r="B25" s="17" t="str">
        <x:v>브라보기지</x:v>
      </x:c>
      <x:c r="C25" s="17" t="str">
        <x:v>B08</x:v>
      </x:c>
      <x:c r="D25" s="17" t="str">
        <x:v>호텔기지</x:v>
      </x:c>
      <x:c r="E25" s="18" t="n">
        <x:v>177</x:v>
      </x:c>
      <x:c r="F25" s="18" t="n">
        <x:v>1.3</x:v>
      </x:c>
      <x:c r="G25" s="18" t="n">
        <x:f>ROUND(E25*F25,1)</x:f>
        <x:v>230.1</x:v>
      </x:c>
      <x:c r="H25" s="18" t="n">
        <x:f>ROUND(G25/'설정'!$B$2*60 + J25*'설정'!$B$3,0)</x:f>
        <x:v>261</x:v>
      </x:c>
      <x:c r="I25" s="17" t="str">
        <x:v>Y</x:v>
      </x:c>
      <x:c r="J25" s="19" t="n">
        <x:v>2</x:v>
      </x:c>
      <x:c r="K25" s="18" t="n">
        <x:f>ROUND(G25 + H25*'설정'!$B$4 + J25*'설정'!$B$5 + IF(I25="N",'설정'!$B$6,0),1)</x:f>
        <x:v>348.4</x:v>
      </x:c>
      <x:c r="L25" s="17" t="str">
        <x:v>시뮬레이션용 가상 작전거리. 실제 도로/API 값 아님</x:v>
      </x:c>
    </x:row>
    <x:row r="26">
      <x:c r="A26" s="17" t="str">
        <x:v>B03</x:v>
      </x:c>
      <x:c r="B26" s="17" t="str">
        <x:v>찰리기지</x:v>
      </x:c>
      <x:c r="C26" s="17" t="str">
        <x:v>DEPOT</x:v>
      </x:c>
      <x:c r="D26" s="17" t="str">
        <x:v>중앙보급기지</x:v>
      </x:c>
      <x:c r="E26" s="18" t="n">
        <x:v>179.6</x:v>
      </x:c>
      <x:c r="F26" s="18" t="n">
        <x:v>1.31</x:v>
      </x:c>
      <x:c r="G26" s="18" t="n">
        <x:f>ROUND(E26*F26,1)</x:f>
        <x:v>235.3</x:v>
      </x:c>
      <x:c r="H26" s="18" t="n">
        <x:f>ROUND(G26/'설정'!$B$2*60 + J26*'설정'!$B$3,0)</x:f>
        <x:v>272</x:v>
      </x:c>
      <x:c r="I26" s="17" t="str">
        <x:v>Y</x:v>
      </x:c>
      <x:c r="J26" s="19" t="n">
        <x:v>3</x:v>
      </x:c>
      <x:c r="K26" s="18" t="n">
        <x:f>ROUND(G26 + H26*'설정'!$B$4 + J26*'설정'!$B$5 + IF(I26="N",'설정'!$B$6,0),1)</x:f>
        <x:v>376.9</x:v>
      </x:c>
      <x:c r="L26" s="17" t="str">
        <x:v>시뮬레이션용 가상 작전거리. 실제 도로/API 값 아님</x:v>
      </x:c>
    </x:row>
    <x:row r="27">
      <x:c r="A27" s="17" t="str">
        <x:v>B03</x:v>
      </x:c>
      <x:c r="B27" s="17" t="str">
        <x:v>찰리기지</x:v>
      </x:c>
      <x:c r="C27" s="17" t="str">
        <x:v>B01</x:v>
      </x:c>
      <x:c r="D27" s="17" t="str">
        <x:v>알파기지</x:v>
      </x:c>
      <x:c r="E27" s="18" t="n">
        <x:v>145.4</x:v>
      </x:c>
      <x:c r="F27" s="18" t="n">
        <x:v>1.31</x:v>
      </x:c>
      <x:c r="G27" s="18" t="n">
        <x:f>ROUND(E27*F27,1)</x:f>
        <x:v>190.5</x:v>
      </x:c>
      <x:c r="H27" s="18" t="n">
        <x:f>ROUND(G27/'설정'!$B$2*60 + J27*'설정'!$B$3,0)</x:f>
        <x:v>223</x:v>
      </x:c>
      <x:c r="I27" s="17" t="str">
        <x:v>Y</x:v>
      </x:c>
      <x:c r="J27" s="19" t="n">
        <x:v>3</x:v>
      </x:c>
      <x:c r="K27" s="18" t="n">
        <x:f>ROUND(G27 + H27*'설정'!$B$4 + J27*'설정'!$B$5 + IF(I27="N",'설정'!$B$6,0),1)</x:f>
        <x:v>317.4</x:v>
      </x:c>
      <x:c r="L27" s="17" t="str">
        <x:v>시뮬레이션용 가상 작전거리. 실제 도로/API 값 아님</x:v>
      </x:c>
    </x:row>
    <x:row r="28">
      <x:c r="A28" s="17" t="str">
        <x:v>B03</x:v>
      </x:c>
      <x:c r="B28" s="17" t="str">
        <x:v>찰리기지</x:v>
      </x:c>
      <x:c r="C28" s="17" t="str">
        <x:v>B02</x:v>
      </x:c>
      <x:c r="D28" s="17" t="str">
        <x:v>브라보기지</x:v>
      </x:c>
      <x:c r="E28" s="18" t="n">
        <x:v>68.8</x:v>
      </x:c>
      <x:c r="F28" s="18" t="n">
        <x:v>1.31</x:v>
      </x:c>
      <x:c r="G28" s="18" t="n">
        <x:f>ROUND(E28*F28,1)</x:f>
        <x:v>90.1</x:v>
      </x:c>
      <x:c r="H28" s="18" t="n">
        <x:f>ROUND(G28/'설정'!$B$2*60 + J28*'설정'!$B$3,0)</x:f>
        <x:v>113</x:v>
      </x:c>
      <x:c r="I28" s="17" t="str">
        <x:v>Y</x:v>
      </x:c>
      <x:c r="J28" s="19" t="n">
        <x:v>3</x:v>
      </x:c>
      <x:c r="K28" s="18" t="n">
        <x:f>ROUND(G28 + H28*'설정'!$B$4 + J28*'설정'!$B$5 + IF(I28="N",'설정'!$B$6,0),1)</x:f>
        <x:v>184</x:v>
      </x:c>
      <x:c r="L28" s="17" t="str">
        <x:v>시뮬레이션용 가상 작전거리. 실제 도로/API 값 아님</x:v>
      </x:c>
    </x:row>
    <x:row r="29">
      <x:c r="A29" s="17" t="str">
        <x:v>B03</x:v>
      </x:c>
      <x:c r="B29" s="17" t="str">
        <x:v>찰리기지</x:v>
      </x:c>
      <x:c r="C29" s="17" t="str">
        <x:v>B04</x:v>
      </x:c>
      <x:c r="D29" s="17" t="str">
        <x:v>델타기지</x:v>
      </x:c>
      <x:c r="E29" s="18" t="n">
        <x:v>82.2</x:v>
      </x:c>
      <x:c r="F29" s="18" t="n">
        <x:v>1.34</x:v>
      </x:c>
      <x:c r="G29" s="18" t="n">
        <x:f>ROUND(E29*F29,1)</x:f>
        <x:v>110.1</x:v>
      </x:c>
      <x:c r="H29" s="18" t="n">
        <x:f>ROUND(G29/'설정'!$B$2*60 + J29*'설정'!$B$3,0)</x:f>
        <x:v>135</x:v>
      </x:c>
      <x:c r="I29" s="17" t="str">
        <x:v>Y</x:v>
      </x:c>
      <x:c r="J29" s="19" t="n">
        <x:v>3</x:v>
      </x:c>
      <x:c r="K29" s="18" t="n">
        <x:f>ROUND(G29 + H29*'설정'!$B$4 + J29*'설정'!$B$5 + IF(I29="N",'설정'!$B$6,0),1)</x:f>
        <x:v>210.6</x:v>
      </x:c>
      <x:c r="L29" s="17" t="str">
        <x:v>시뮬레이션용 가상 작전거리. 실제 도로/API 값 아님</x:v>
      </x:c>
    </x:row>
    <x:row r="30">
      <x:c r="A30" s="17" t="str">
        <x:v>B03</x:v>
      </x:c>
      <x:c r="B30" s="17" t="str">
        <x:v>찰리기지</x:v>
      </x:c>
      <x:c r="C30" s="17" t="str">
        <x:v>B05</x:v>
      </x:c>
      <x:c r="D30" s="17" t="str">
        <x:v>에코기지</x:v>
      </x:c>
      <x:c r="E30" s="18" t="n">
        <x:v>284.3</x:v>
      </x:c>
      <x:c r="F30" s="18" t="n">
        <x:v>1.23</x:v>
      </x:c>
      <x:c r="G30" s="18" t="n">
        <x:f>ROUND(E30*F30,1)</x:f>
        <x:v>349.7</x:v>
      </x:c>
      <x:c r="H30" s="18" t="n">
        <x:f>ROUND(G30/'설정'!$B$2*60 + J30*'설정'!$B$3,0)</x:f>
        <x:v>396</x:v>
      </x:c>
      <x:c r="I30" s="17" t="str">
        <x:v>Y</x:v>
      </x:c>
      <x:c r="J30" s="19" t="n">
        <x:v>3</x:v>
      </x:c>
      <x:c r="K30" s="18" t="n">
        <x:f>ROUND(G30 + H30*'설정'!$B$4 + J30*'설정'!$B$5 + IF(I30="N",'설정'!$B$6,0),1)</x:f>
        <x:v>528.5</x:v>
      </x:c>
      <x:c r="L30" s="17" t="str">
        <x:v>시뮬레이션용 가상 작전거리. 실제 도로/API 값 아님</x:v>
      </x:c>
    </x:row>
    <x:row r="31">
      <x:c r="A31" s="17" t="str">
        <x:v>B03</x:v>
      </x:c>
      <x:c r="B31" s="17" t="str">
        <x:v>찰리기지</x:v>
      </x:c>
      <x:c r="C31" s="17" t="str">
        <x:v>B06</x:v>
      </x:c>
      <x:c r="D31" s="17" t="str">
        <x:v>폭스트롯기지</x:v>
      </x:c>
      <x:c r="E31" s="18" t="n">
        <x:v>251.9</x:v>
      </x:c>
      <x:c r="F31" s="18" t="n">
        <x:v>1.29</x:v>
      </x:c>
      <x:c r="G31" s="18" t="n">
        <x:f>ROUND(E31*F31,1)</x:f>
        <x:v>325</x:v>
      </x:c>
      <x:c r="H31" s="18" t="n">
        <x:f>ROUND(G31/'설정'!$B$2*60 + J31*'설정'!$B$3,0)</x:f>
        <x:v>370</x:v>
      </x:c>
      <x:c r="I31" s="17" t="str">
        <x:v>Y</x:v>
      </x:c>
      <x:c r="J31" s="19" t="n">
        <x:v>3</x:v>
      </x:c>
      <x:c r="K31" s="18" t="n">
        <x:f>ROUND(G31 + H31*'설정'!$B$4 + J31*'설정'!$B$5 + IF(I31="N",'설정'!$B$6,0),1)</x:f>
        <x:v>496</x:v>
      </x:c>
      <x:c r="L31" s="17" t="str">
        <x:v>시뮬레이션용 가상 작전거리. 실제 도로/API 값 아님</x:v>
      </x:c>
    </x:row>
    <x:row r="32">
      <x:c r="A32" s="17" t="str">
        <x:v>B03</x:v>
      </x:c>
      <x:c r="B32" s="17" t="str">
        <x:v>찰리기지</x:v>
      </x:c>
      <x:c r="C32" s="17" t="str">
        <x:v>B07</x:v>
      </x:c>
      <x:c r="D32" s="17" t="str">
        <x:v>골프기지</x:v>
      </x:c>
      <x:c r="E32" s="18" t="n">
        <x:v>206.9</x:v>
      </x:c>
      <x:c r="F32" s="18" t="n">
        <x:v>1.3</x:v>
      </x:c>
      <x:c r="G32" s="18" t="n">
        <x:f>ROUND(E32*F32,1)</x:f>
        <x:v>269</x:v>
      </x:c>
      <x:c r="H32" s="18" t="n">
        <x:f>ROUND(G32/'설정'!$B$2*60 + J32*'설정'!$B$3,0)</x:f>
        <x:v>308</x:v>
      </x:c>
      <x:c r="I32" s="17" t="str">
        <x:v>Y</x:v>
      </x:c>
      <x:c r="J32" s="19" t="n">
        <x:v>3</x:v>
      </x:c>
      <x:c r="K32" s="18" t="n">
        <x:f>ROUND(G32 + H32*'설정'!$B$4 + J32*'설정'!$B$5 + IF(I32="N",'설정'!$B$6,0),1)</x:f>
        <x:v>421.4</x:v>
      </x:c>
      <x:c r="L32" s="17" t="str">
        <x:v>시뮬레이션용 가상 작전거리. 실제 도로/API 값 아님</x:v>
      </x:c>
    </x:row>
    <x:row r="33">
      <x:c r="A33" s="17" t="str">
        <x:v>B03</x:v>
      </x:c>
      <x:c r="B33" s="17" t="str">
        <x:v>찰리기지</x:v>
      </x:c>
      <x:c r="C33" s="17" t="str">
        <x:v>B08</x:v>
      </x:c>
      <x:c r="D33" s="17" t="str">
        <x:v>호텔기지</x:v>
      </x:c>
      <x:c r="E33" s="18" t="n">
        <x:v>244.7</x:v>
      </x:c>
      <x:c r="F33" s="18" t="n">
        <x:v>1.31</x:v>
      </x:c>
      <x:c r="G33" s="18" t="n">
        <x:f>ROUND(E33*F33,1)</x:f>
        <x:v>320.6</x:v>
      </x:c>
      <x:c r="H33" s="18" t="n">
        <x:f>ROUND(G33/'설정'!$B$2*60 + J33*'설정'!$B$3,0)</x:f>
        <x:v>365</x:v>
      </x:c>
      <x:c r="I33" s="17" t="str">
        <x:v>N</x:v>
      </x:c>
      <x:c r="J33" s="19" t="n">
        <x:v>3</x:v>
      </x:c>
      <x:c r="K33" s="18" t="n">
        <x:f>ROUND(G33 + H33*'설정'!$B$4 + J33*'설정'!$B$5 + IF(I33="N",'설정'!$B$6,0),1)</x:f>
        <x:v>100490.1</x:v>
      </x:c>
      <x:c r="L33" s="17" t="str">
        <x:v>시뮬레이션용 가상 작전거리. 실제 도로/API 값 아님</x:v>
      </x:c>
    </x:row>
    <x:row r="34">
      <x:c r="A34" s="17" t="str">
        <x:v>B04</x:v>
      </x:c>
      <x:c r="B34" s="17" t="str">
        <x:v>델타기지</x:v>
      </x:c>
      <x:c r="C34" s="17" t="str">
        <x:v>DEPOT</x:v>
      </x:c>
      <x:c r="D34" s="17" t="str">
        <x:v>중앙보급기지</x:v>
      </x:c>
      <x:c r="E34" s="18" t="n">
        <x:v>122.7</x:v>
      </x:c>
      <x:c r="F34" s="18" t="n">
        <x:v>1.16</x:v>
      </x:c>
      <x:c r="G34" s="18" t="n">
        <x:f>ROUND(E34*F34,1)</x:f>
        <x:v>142.3</x:v>
      </x:c>
      <x:c r="H34" s="18" t="n">
        <x:f>ROUND(G34/'설정'!$B$2*60 + J34*'설정'!$B$3,0)</x:f>
        <x:v>160</x:v>
      </x:c>
      <x:c r="I34" s="17" t="str">
        <x:v>Y</x:v>
      </x:c>
      <x:c r="J34" s="19" t="n">
        <x:v>1</x:v>
      </x:c>
      <x:c r="K34" s="18" t="n">
        <x:f>ROUND(G34 + H34*'설정'!$B$4 + J34*'설정'!$B$5 + IF(I34="N",'설정'!$B$6,0),1)</x:f>
        <x:v>210.3</x:v>
      </x:c>
      <x:c r="L34" s="17" t="str">
        <x:v>시뮬레이션용 가상 작전거리. 실제 도로/API 값 아님</x:v>
      </x:c>
    </x:row>
    <x:row r="35">
      <x:c r="A35" s="17" t="str">
        <x:v>B04</x:v>
      </x:c>
      <x:c r="B35" s="17" t="str">
        <x:v>델타기지</x:v>
      </x:c>
      <x:c r="C35" s="17" t="str">
        <x:v>B01</x:v>
      </x:c>
      <x:c r="D35" s="17" t="str">
        <x:v>알파기지</x:v>
      </x:c>
      <x:c r="E35" s="18" t="n">
        <x:v>164.2</x:v>
      </x:c>
      <x:c r="F35" s="18" t="n">
        <x:v>1.16</x:v>
      </x:c>
      <x:c r="G35" s="18" t="n">
        <x:f>ROUND(E35*F35,1)</x:f>
        <x:v>190.5</x:v>
      </x:c>
      <x:c r="H35" s="18" t="n">
        <x:f>ROUND(G35/'설정'!$B$2*60 + J35*'설정'!$B$3,0)</x:f>
        <x:v>213</x:v>
      </x:c>
      <x:c r="I35" s="17" t="str">
        <x:v>Y</x:v>
      </x:c>
      <x:c r="J35" s="19" t="n">
        <x:v>1</x:v>
      </x:c>
      <x:c r="K35" s="18" t="n">
        <x:f>ROUND(G35 + H35*'설정'!$B$4 + J35*'설정'!$B$5 + IF(I35="N",'설정'!$B$6,0),1)</x:f>
        <x:v>274.4</x:v>
      </x:c>
      <x:c r="L35" s="17" t="str">
        <x:v>시뮬레이션용 가상 작전거리. 실제 도로/API 값 아님</x:v>
      </x:c>
    </x:row>
    <x:row r="36">
      <x:c r="A36" s="17" t="str">
        <x:v>B04</x:v>
      </x:c>
      <x:c r="B36" s="17" t="str">
        <x:v>델타기지</x:v>
      </x:c>
      <x:c r="C36" s="17" t="str">
        <x:v>B02</x:v>
      </x:c>
      <x:c r="D36" s="17" t="str">
        <x:v>브라보기지</x:v>
      </x:c>
      <x:c r="E36" s="18" t="n">
        <x:v>78.3</x:v>
      </x:c>
      <x:c r="F36" s="18" t="n">
        <x:v>1.25</x:v>
      </x:c>
      <x:c r="G36" s="18" t="n">
        <x:f>ROUND(E36*F36,1)</x:f>
        <x:v>97.9</x:v>
      </x:c>
      <x:c r="H36" s="18" t="n">
        <x:f>ROUND(G36/'설정'!$B$2*60 + J36*'설정'!$B$3,0)</x:f>
        <x:v>117</x:v>
      </x:c>
      <x:c r="I36" s="17" t="str">
        <x:v>Y</x:v>
      </x:c>
      <x:c r="J36" s="19" t="n">
        <x:v>2</x:v>
      </x:c>
      <x:c r="K36" s="18" t="n">
        <x:f>ROUND(G36 + H36*'설정'!$B$4 + J36*'설정'!$B$5 + IF(I36="N",'설정'!$B$6,0),1)</x:f>
        <x:v>173</x:v>
      </x:c>
      <x:c r="L36" s="17" t="str">
        <x:v>시뮬레이션용 가상 작전거리. 실제 도로/API 값 아님</x:v>
      </x:c>
    </x:row>
    <x:row r="37">
      <x:c r="A37" s="17" t="str">
        <x:v>B04</x:v>
      </x:c>
      <x:c r="B37" s="17" t="str">
        <x:v>델타기지</x:v>
      </x:c>
      <x:c r="C37" s="17" t="str">
        <x:v>B03</x:v>
      </x:c>
      <x:c r="D37" s="17" t="str">
        <x:v>찰리기지</x:v>
      </x:c>
      <x:c r="E37" s="18" t="n">
        <x:v>82.2</x:v>
      </x:c>
      <x:c r="F37" s="18" t="n">
        <x:v>1.34</x:v>
      </x:c>
      <x:c r="G37" s="18" t="n">
        <x:f>ROUND(E37*F37,1)</x:f>
        <x:v>110.1</x:v>
      </x:c>
      <x:c r="H37" s="18" t="n">
        <x:f>ROUND(G37/'설정'!$B$2*60 + J37*'설정'!$B$3,0)</x:f>
        <x:v>135</x:v>
      </x:c>
      <x:c r="I37" s="17" t="str">
        <x:v>Y</x:v>
      </x:c>
      <x:c r="J37" s="19" t="n">
        <x:v>3</x:v>
      </x:c>
      <x:c r="K37" s="18" t="n">
        <x:f>ROUND(G37 + H37*'설정'!$B$4 + J37*'설정'!$B$5 + IF(I37="N",'설정'!$B$6,0),1)</x:f>
        <x:v>210.6</x:v>
      </x:c>
      <x:c r="L37" s="17" t="str">
        <x:v>시뮬레이션용 가상 작전거리. 실제 도로/API 값 아님</x:v>
      </x:c>
    </x:row>
    <x:row r="38">
      <x:c r="A38" s="17" t="str">
        <x:v>B04</x:v>
      </x:c>
      <x:c r="B38" s="17" t="str">
        <x:v>델타기지</x:v>
      </x:c>
      <x:c r="C38" s="17" t="str">
        <x:v>B05</x:v>
      </x:c>
      <x:c r="D38" s="17" t="str">
        <x:v>에코기지</x:v>
      </x:c>
      <x:c r="E38" s="18" t="n">
        <x:v>205.1</x:v>
      </x:c>
      <x:c r="F38" s="18" t="n">
        <x:v>1.21</x:v>
      </x:c>
      <x:c r="G38" s="18" t="n">
        <x:f>ROUND(E38*F38,1)</x:f>
        <x:v>248.2</x:v>
      </x:c>
      <x:c r="H38" s="18" t="n">
        <x:f>ROUND(G38/'설정'!$B$2*60 + J38*'설정'!$B$3,0)</x:f>
        <x:v>276</x:v>
      </x:c>
      <x:c r="I38" s="17" t="str">
        <x:v>Y</x:v>
      </x:c>
      <x:c r="J38" s="19" t="n">
        <x:v>1</x:v>
      </x:c>
      <x:c r="K38" s="18" t="n">
        <x:f>ROUND(G38 + H38*'설정'!$B$4 + J38*'설정'!$B$5 + IF(I38="N",'설정'!$B$6,0),1)</x:f>
        <x:v>351</x:v>
      </x:c>
      <x:c r="L38" s="17" t="str">
        <x:v>시뮬레이션용 가상 작전거리. 실제 도로/API 값 아님</x:v>
      </x:c>
    </x:row>
    <x:row r="39">
      <x:c r="A39" s="17" t="str">
        <x:v>B04</x:v>
      </x:c>
      <x:c r="B39" s="17" t="str">
        <x:v>델타기지</x:v>
      </x:c>
      <x:c r="C39" s="17" t="str">
        <x:v>B06</x:v>
      </x:c>
      <x:c r="D39" s="17" t="str">
        <x:v>폭스트롯기지</x:v>
      </x:c>
      <x:c r="E39" s="18" t="n">
        <x:v>170.7</x:v>
      </x:c>
      <x:c r="F39" s="18" t="n">
        <x:v>1.28</x:v>
      </x:c>
      <x:c r="G39" s="18" t="n">
        <x:f>ROUND(E39*F39,1)</x:f>
        <x:v>218.5</x:v>
      </x:c>
      <x:c r="H39" s="18" t="n">
        <x:f>ROUND(G39/'설정'!$B$2*60 + J39*'설정'!$B$3,0)</x:f>
        <x:v>248</x:v>
      </x:c>
      <x:c r="I39" s="17" t="str">
        <x:v>Y</x:v>
      </x:c>
      <x:c r="J39" s="19" t="n">
        <x:v>2</x:v>
      </x:c>
      <x:c r="K39" s="18" t="n">
        <x:f>ROUND(G39 + H39*'설정'!$B$4 + J39*'설정'!$B$5 + IF(I39="N",'설정'!$B$6,0),1)</x:f>
        <x:v>332.9</x:v>
      </x:c>
      <x:c r="L39" s="17" t="str">
        <x:v>시뮬레이션용 가상 작전거리. 실제 도로/API 값 아님</x:v>
      </x:c>
    </x:row>
    <x:row r="40">
      <x:c r="A40" s="17" t="str">
        <x:v>B04</x:v>
      </x:c>
      <x:c r="B40" s="17" t="str">
        <x:v>델타기지</x:v>
      </x:c>
      <x:c r="C40" s="17" t="str">
        <x:v>B07</x:v>
      </x:c>
      <x:c r="D40" s="17" t="str">
        <x:v>골프기지</x:v>
      </x:c>
      <x:c r="E40" s="18" t="n">
        <x:v>223</x:v>
      </x:c>
      <x:c r="F40" s="18" t="n">
        <x:v>1.31</x:v>
      </x:c>
      <x:c r="G40" s="18" t="n">
        <x:f>ROUND(E40*F40,1)</x:f>
        <x:v>292.1</x:v>
      </x:c>
      <x:c r="H40" s="18" t="n">
        <x:f>ROUND(G40/'설정'!$B$2*60 + J40*'설정'!$B$3,0)</x:f>
        <x:v>329</x:v>
      </x:c>
      <x:c r="I40" s="17" t="str">
        <x:v>Y</x:v>
      </x:c>
      <x:c r="J40" s="19" t="n">
        <x:v>2</x:v>
      </x:c>
      <x:c r="K40" s="18" t="n">
        <x:f>ROUND(G40 + H40*'설정'!$B$4 + J40*'설정'!$B$5 + IF(I40="N",'설정'!$B$6,0),1)</x:f>
        <x:v>430.8</x:v>
      </x:c>
      <x:c r="L40" s="17" t="str">
        <x:v>시뮬레이션용 가상 작전거리. 실제 도로/API 값 아님</x:v>
      </x:c>
    </x:row>
    <x:row r="41">
      <x:c r="A41" s="17" t="str">
        <x:v>B04</x:v>
      </x:c>
      <x:c r="B41" s="17" t="str">
        <x:v>델타기지</x:v>
      </x:c>
      <x:c r="C41" s="17" t="str">
        <x:v>B08</x:v>
      </x:c>
      <x:c r="D41" s="17" t="str">
        <x:v>호텔기지</x:v>
      </x:c>
      <x:c r="E41" s="18" t="n">
        <x:v>230.5</x:v>
      </x:c>
      <x:c r="F41" s="18" t="n">
        <x:v>1.23</x:v>
      </x:c>
      <x:c r="G41" s="18" t="n">
        <x:f>ROUND(E41*F41,1)</x:f>
        <x:v>283.5</x:v>
      </x:c>
      <x:c r="H41" s="18" t="n">
        <x:f>ROUND(G41/'설정'!$B$2*60 + J41*'설정'!$B$3,0)</x:f>
        <x:v>314</x:v>
      </x:c>
      <x:c r="I41" s="17" t="str">
        <x:v>Y</x:v>
      </x:c>
      <x:c r="J41" s="19" t="n">
        <x:v>1</x:v>
      </x:c>
      <x:c r="K41" s="18" t="n">
        <x:f>ROUND(G41 + H41*'설정'!$B$4 + J41*'설정'!$B$5 + IF(I41="N",'설정'!$B$6,0),1)</x:f>
        <x:v>397.7</x:v>
      </x:c>
      <x:c r="L41" s="17" t="str">
        <x:v>시뮬레이션용 가상 작전거리. 실제 도로/API 값 아님</x:v>
      </x:c>
    </x:row>
    <x:row r="42">
      <x:c r="A42" s="17" t="str">
        <x:v>B05</x:v>
      </x:c>
      <x:c r="B42" s="17" t="str">
        <x:v>에코기지</x:v>
      </x:c>
      <x:c r="C42" s="17" t="str">
        <x:v>DEPOT</x:v>
      </x:c>
      <x:c r="D42" s="17" t="str">
        <x:v>중앙보급기지</x:v>
      </x:c>
      <x:c r="E42" s="18" t="n">
        <x:v>137</x:v>
      </x:c>
      <x:c r="F42" s="18" t="n">
        <x:v>1.17</x:v>
      </x:c>
      <x:c r="G42" s="18" t="n">
        <x:f>ROUND(E42*F42,1)</x:f>
        <x:v>160.3</x:v>
      </x:c>
      <x:c r="H42" s="18" t="n">
        <x:f>ROUND(G42/'설정'!$B$2*60 + J42*'설정'!$B$3,0)</x:f>
        <x:v>180</x:v>
      </x:c>
      <x:c r="I42" s="17" t="str">
        <x:v>Y</x:v>
      </x:c>
      <x:c r="J42" s="19" t="n">
        <x:v>1</x:v>
      </x:c>
      <x:c r="K42" s="18" t="n">
        <x:f>ROUND(G42 + H42*'설정'!$B$4 + J42*'설정'!$B$5 + IF(I42="N",'설정'!$B$6,0),1)</x:f>
        <x:v>234.3</x:v>
      </x:c>
      <x:c r="L42" s="17" t="str">
        <x:v>시뮬레이션용 가상 작전거리. 실제 도로/API 값 아님</x:v>
      </x:c>
    </x:row>
    <x:row r="43">
      <x:c r="A43" s="17" t="str">
        <x:v>B05</x:v>
      </x:c>
      <x:c r="B43" s="17" t="str">
        <x:v>에코기지</x:v>
      </x:c>
      <x:c r="C43" s="17" t="str">
        <x:v>B01</x:v>
      </x:c>
      <x:c r="D43" s="17" t="str">
        <x:v>알파기지</x:v>
      </x:c>
      <x:c r="E43" s="18" t="n">
        <x:v>282.7</x:v>
      </x:c>
      <x:c r="F43" s="18" t="n">
        <x:v>1.13</x:v>
      </x:c>
      <x:c r="G43" s="18" t="n">
        <x:f>ROUND(E43*F43,1)</x:f>
        <x:v>319.5</x:v>
      </x:c>
      <x:c r="H43" s="18" t="n">
        <x:f>ROUND(G43/'설정'!$B$2*60 + J43*'설정'!$B$3,0)</x:f>
        <x:v>364</x:v>
      </x:c>
      <x:c r="I43" s="17" t="str">
        <x:v>Y</x:v>
      </x:c>
      <x:c r="J43" s="19" t="n">
        <x:v>3</x:v>
      </x:c>
      <x:c r="K43" s="18" t="n">
        <x:f>ROUND(G43 + H43*'설정'!$B$4 + J43*'설정'!$B$5 + IF(I43="N",'설정'!$B$6,0),1)</x:f>
        <x:v>488.7</x:v>
      </x:c>
      <x:c r="L43" s="17" t="str">
        <x:v>시뮬레이션용 가상 작전거리. 실제 도로/API 값 아님</x:v>
      </x:c>
    </x:row>
    <x:row r="44">
      <x:c r="A44" s="17" t="str">
        <x:v>B05</x:v>
      </x:c>
      <x:c r="B44" s="17" t="str">
        <x:v>에코기지</x:v>
      </x:c>
      <x:c r="C44" s="17" t="str">
        <x:v>B02</x:v>
      </x:c>
      <x:c r="D44" s="17" t="str">
        <x:v>브라보기지</x:v>
      </x:c>
      <x:c r="E44" s="18" t="n">
        <x:v>244.2</x:v>
      </x:c>
      <x:c r="F44" s="18" t="n">
        <x:v>1.19</x:v>
      </x:c>
      <x:c r="G44" s="18" t="n">
        <x:f>ROUND(E44*F44,1)</x:f>
        <x:v>290.6</x:v>
      </x:c>
      <x:c r="H44" s="18" t="n">
        <x:f>ROUND(G44/'설정'!$B$2*60 + J44*'설정'!$B$3,0)</x:f>
        <x:v>322</x:v>
      </x:c>
      <x:c r="I44" s="17" t="str">
        <x:v>Y</x:v>
      </x:c>
      <x:c r="J44" s="19" t="n">
        <x:v>1</x:v>
      </x:c>
      <x:c r="K44" s="18" t="n">
        <x:f>ROUND(G44 + H44*'설정'!$B$4 + J44*'설정'!$B$5 + IF(I44="N",'설정'!$B$6,0),1)</x:f>
        <x:v>407.2</x:v>
      </x:c>
      <x:c r="L44" s="17" t="str">
        <x:v>시뮬레이션용 가상 작전거리. 실제 도로/API 값 아님</x:v>
      </x:c>
    </x:row>
    <x:row r="45">
      <x:c r="A45" s="17" t="str">
        <x:v>B05</x:v>
      </x:c>
      <x:c r="B45" s="17" t="str">
        <x:v>에코기지</x:v>
      </x:c>
      <x:c r="C45" s="17" t="str">
        <x:v>B03</x:v>
      </x:c>
      <x:c r="D45" s="17" t="str">
        <x:v>찰리기지</x:v>
      </x:c>
      <x:c r="E45" s="18" t="n">
        <x:v>284.3</x:v>
      </x:c>
      <x:c r="F45" s="18" t="n">
        <x:v>1.23</x:v>
      </x:c>
      <x:c r="G45" s="18" t="n">
        <x:f>ROUND(E45*F45,1)</x:f>
        <x:v>349.7</x:v>
      </x:c>
      <x:c r="H45" s="18" t="n">
        <x:f>ROUND(G45/'설정'!$B$2*60 + J45*'설정'!$B$3,0)</x:f>
        <x:v>396</x:v>
      </x:c>
      <x:c r="I45" s="17" t="str">
        <x:v>Y</x:v>
      </x:c>
      <x:c r="J45" s="19" t="n">
        <x:v>3</x:v>
      </x:c>
      <x:c r="K45" s="18" t="n">
        <x:f>ROUND(G45 + H45*'설정'!$B$4 + J45*'설정'!$B$5 + IF(I45="N",'설정'!$B$6,0),1)</x:f>
        <x:v>528.5</x:v>
      </x:c>
      <x:c r="L45" s="17" t="str">
        <x:v>시뮬레이션용 가상 작전거리. 실제 도로/API 값 아님</x:v>
      </x:c>
    </x:row>
    <x:row r="46">
      <x:c r="A46" s="17" t="str">
        <x:v>B05</x:v>
      </x:c>
      <x:c r="B46" s="17" t="str">
        <x:v>에코기지</x:v>
      </x:c>
      <x:c r="C46" s="17" t="str">
        <x:v>B04</x:v>
      </x:c>
      <x:c r="D46" s="17" t="str">
        <x:v>델타기지</x:v>
      </x:c>
      <x:c r="E46" s="18" t="n">
        <x:v>205.1</x:v>
      </x:c>
      <x:c r="F46" s="18" t="n">
        <x:v>1.21</x:v>
      </x:c>
      <x:c r="G46" s="18" t="n">
        <x:f>ROUND(E46*F46,1)</x:f>
        <x:v>248.2</x:v>
      </x:c>
      <x:c r="H46" s="18" t="n">
        <x:f>ROUND(G46/'설정'!$B$2*60 + J46*'설정'!$B$3,0)</x:f>
        <x:v>276</x:v>
      </x:c>
      <x:c r="I46" s="17" t="str">
        <x:v>Y</x:v>
      </x:c>
      <x:c r="J46" s="19" t="n">
        <x:v>1</x:v>
      </x:c>
      <x:c r="K46" s="18" t="n">
        <x:f>ROUND(G46 + H46*'설정'!$B$4 + J46*'설정'!$B$5 + IF(I46="N",'설정'!$B$6,0),1)</x:f>
        <x:v>351</x:v>
      </x:c>
      <x:c r="L46" s="17" t="str">
        <x:v>시뮬레이션용 가상 작전거리. 실제 도로/API 값 아님</x:v>
      </x:c>
    </x:row>
    <x:row r="47">
      <x:c r="A47" s="17" t="str">
        <x:v>B05</x:v>
      </x:c>
      <x:c r="B47" s="17" t="str">
        <x:v>에코기지</x:v>
      </x:c>
      <x:c r="C47" s="17" t="str">
        <x:v>B06</x:v>
      </x:c>
      <x:c r="D47" s="17" t="str">
        <x:v>폭스트롯기지</x:v>
      </x:c>
      <x:c r="E47" s="18" t="n">
        <x:v>101.8</x:v>
      </x:c>
      <x:c r="F47" s="18" t="n">
        <x:v>1.29</x:v>
      </x:c>
      <x:c r="G47" s="18" t="n">
        <x:f>ROUND(E47*F47,1)</x:f>
        <x:v>131.3</x:v>
      </x:c>
      <x:c r="H47" s="18" t="n">
        <x:f>ROUND(G47/'설정'!$B$2*60 + J47*'설정'!$B$3,0)</x:f>
        <x:v>153</x:v>
      </x:c>
      <x:c r="I47" s="17" t="str">
        <x:v>Y</x:v>
      </x:c>
      <x:c r="J47" s="19" t="n">
        <x:v>2</x:v>
      </x:c>
      <x:c r="K47" s="18" t="n">
        <x:f>ROUND(G47 + H47*'설정'!$B$4 + J47*'설정'!$B$5 + IF(I47="N",'설정'!$B$6,0),1)</x:f>
        <x:v>217.2</x:v>
      </x:c>
      <x:c r="L47" s="17" t="str">
        <x:v>시뮬레이션용 가상 작전거리. 실제 도로/API 값 아님</x:v>
      </x:c>
    </x:row>
    <x:row r="48">
      <x:c r="A48" s="17" t="str">
        <x:v>B05</x:v>
      </x:c>
      <x:c r="B48" s="17" t="str">
        <x:v>에코기지</x:v>
      </x:c>
      <x:c r="C48" s="17" t="str">
        <x:v>B07</x:v>
      </x:c>
      <x:c r="D48" s="17" t="str">
        <x:v>골프기지</x:v>
      </x:c>
      <x:c r="E48" s="18" t="n">
        <x:v>311.8</x:v>
      </x:c>
      <x:c r="F48" s="18" t="n">
        <x:v>1.19</x:v>
      </x:c>
      <x:c r="G48" s="18" t="n">
        <x:f>ROUND(E48*F48,1)</x:f>
        <x:v>371</x:v>
      </x:c>
      <x:c r="H48" s="18" t="n">
        <x:f>ROUND(G48/'설정'!$B$2*60 + J48*'설정'!$B$3,0)</x:f>
        <x:v>415</x:v>
      </x:c>
      <x:c r="I48" s="17" t="str">
        <x:v>N</x:v>
      </x:c>
      <x:c r="J48" s="19" t="n">
        <x:v>2</x:v>
      </x:c>
      <x:c r="K48" s="18" t="n">
        <x:f>ROUND(G48 + H48*'설정'!$B$4 + J48*'설정'!$B$5 + IF(I48="N",'설정'!$B$6,0),1)</x:f>
        <x:v>100535.5</x:v>
      </x:c>
      <x:c r="L48" s="17" t="str">
        <x:v>시뮬레이션용 가상 작전거리. 실제 도로/API 값 아님</x:v>
      </x:c>
    </x:row>
    <x:row r="49">
      <x:c r="A49" s="17" t="str">
        <x:v>B05</x:v>
      </x:c>
      <x:c r="B49" s="17" t="str">
        <x:v>에코기지</x:v>
      </x:c>
      <x:c r="C49" s="17" t="str">
        <x:v>B08</x:v>
      </x:c>
      <x:c r="D49" s="17" t="str">
        <x:v>호텔기지</x:v>
      </x:c>
      <x:c r="E49" s="18" t="n">
        <x:v>255.7</x:v>
      </x:c>
      <x:c r="F49" s="18" t="n">
        <x:v>1.2</x:v>
      </x:c>
      <x:c r="G49" s="18" t="n">
        <x:f>ROUND(E49*F49,1)</x:f>
        <x:v>306.8</x:v>
      </x:c>
      <x:c r="H49" s="18" t="n">
        <x:f>ROUND(G49/'설정'!$B$2*60 + J49*'설정'!$B$3,0)</x:f>
        <x:v>345</x:v>
      </x:c>
      <x:c r="I49" s="17" t="str">
        <x:v>Y</x:v>
      </x:c>
      <x:c r="J49" s="19" t="n">
        <x:v>2</x:v>
      </x:c>
      <x:c r="K49" s="18" t="n">
        <x:f>ROUND(G49 + H49*'설정'!$B$4 + J49*'설정'!$B$5 + IF(I49="N",'설정'!$B$6,0),1)</x:f>
        <x:v>450.3</x:v>
      </x:c>
      <x:c r="L49" s="17" t="str">
        <x:v>시뮬레이션용 가상 작전거리. 실제 도로/API 값 아님</x:v>
      </x:c>
    </x:row>
    <x:row r="50">
      <x:c r="A50" s="17" t="str">
        <x:v>B06</x:v>
      </x:c>
      <x:c r="B50" s="17" t="str">
        <x:v>폭스트롯기지</x:v>
      </x:c>
      <x:c r="C50" s="17" t="str">
        <x:v>DEPOT</x:v>
      </x:c>
      <x:c r="D50" s="17" t="str">
        <x:v>중앙보급기지</x:v>
      </x:c>
      <x:c r="E50" s="18" t="n">
        <x:v>173</x:v>
      </x:c>
      <x:c r="F50" s="18" t="n">
        <x:v>1.24</x:v>
      </x:c>
      <x:c r="G50" s="18" t="n">
        <x:f>ROUND(E50*F50,1)</x:f>
        <x:v>214.5</x:v>
      </x:c>
      <x:c r="H50" s="18" t="n">
        <x:f>ROUND(G50/'설정'!$B$2*60 + J50*'설정'!$B$3,0)</x:f>
        <x:v>244</x:v>
      </x:c>
      <x:c r="I50" s="17" t="str">
        <x:v>Y</x:v>
      </x:c>
      <x:c r="J50" s="19" t="n">
        <x:v>2</x:v>
      </x:c>
      <x:c r="K50" s="18" t="n">
        <x:f>ROUND(G50 + H50*'설정'!$B$4 + J50*'설정'!$B$5 + IF(I50="N",'설정'!$B$6,0),1)</x:f>
        <x:v>327.7</x:v>
      </x:c>
      <x:c r="L50" s="17" t="str">
        <x:v>시뮬레이션용 가상 작전거리. 실제 도로/API 값 아님</x:v>
      </x:c>
    </x:row>
    <x:row r="51">
      <x:c r="A51" s="17" t="str">
        <x:v>B06</x:v>
      </x:c>
      <x:c r="B51" s="17" t="str">
        <x:v>폭스트롯기지</x:v>
      </x:c>
      <x:c r="C51" s="17" t="str">
        <x:v>B01</x:v>
      </x:c>
      <x:c r="D51" s="17" t="str">
        <x:v>알파기지</x:v>
      </x:c>
      <x:c r="E51" s="18" t="n">
        <x:v>302.3</x:v>
      </x:c>
      <x:c r="F51" s="18" t="n">
        <x:v>1.2</x:v>
      </x:c>
      <x:c r="G51" s="18" t="n">
        <x:f>ROUND(E51*F51,1)</x:f>
        <x:v>362.8</x:v>
      </x:c>
      <x:c r="H51" s="18" t="n">
        <x:f>ROUND(G51/'설정'!$B$2*60 + J51*'설정'!$B$3,0)</x:f>
        <x:v>411</x:v>
      </x:c>
      <x:c r="I51" s="17" t="str">
        <x:v>Y</x:v>
      </x:c>
      <x:c r="J51" s="19" t="n">
        <x:v>3</x:v>
      </x:c>
      <x:c r="K51" s="18" t="n">
        <x:f>ROUND(G51 + H51*'설정'!$B$4 + J51*'설정'!$B$5 + IF(I51="N",'설정'!$B$6,0),1)</x:f>
        <x:v>546.1</x:v>
      </x:c>
      <x:c r="L51" s="17" t="str">
        <x:v>시뮬레이션용 가상 작전거리. 실제 도로/API 값 아님</x:v>
      </x:c>
    </x:row>
    <x:row r="52">
      <x:c r="A52" s="17" t="str">
        <x:v>B06</x:v>
      </x:c>
      <x:c r="B52" s="17" t="str">
        <x:v>폭스트롯기지</x:v>
      </x:c>
      <x:c r="C52" s="17" t="str">
        <x:v>B02</x:v>
      </x:c>
      <x:c r="D52" s="17" t="str">
        <x:v>브라보기지</x:v>
      </x:c>
      <x:c r="E52" s="18" t="n">
        <x:v>236.6</x:v>
      </x:c>
      <x:c r="F52" s="18" t="n">
        <x:v>1.25</x:v>
      </x:c>
      <x:c r="G52" s="18" t="n">
        <x:f>ROUND(E52*F52,1)</x:f>
        <x:v>295.8</x:v>
      </x:c>
      <x:c r="H52" s="18" t="n">
        <x:f>ROUND(G52/'설정'!$B$2*60 + J52*'설정'!$B$3,0)</x:f>
        <x:v>333</x:v>
      </x:c>
      <x:c r="I52" s="17" t="str">
        <x:v>Y</x:v>
      </x:c>
      <x:c r="J52" s="19" t="n">
        <x:v>2</x:v>
      </x:c>
      <x:c r="K52" s="18" t="n">
        <x:f>ROUND(G52 + H52*'설정'!$B$4 + J52*'설정'!$B$5 + IF(I52="N",'설정'!$B$6,0),1)</x:f>
        <x:v>435.7</x:v>
      </x:c>
      <x:c r="L52" s="17" t="str">
        <x:v>시뮬레이션용 가상 작전거리. 실제 도로/API 값 아님</x:v>
      </x:c>
    </x:row>
    <x:row r="53">
      <x:c r="A53" s="17" t="str">
        <x:v>B06</x:v>
      </x:c>
      <x:c r="B53" s="17" t="str">
        <x:v>폭스트롯기지</x:v>
      </x:c>
      <x:c r="C53" s="17" t="str">
        <x:v>B03</x:v>
      </x:c>
      <x:c r="D53" s="17" t="str">
        <x:v>찰리기지</x:v>
      </x:c>
      <x:c r="E53" s="18" t="n">
        <x:v>251.9</x:v>
      </x:c>
      <x:c r="F53" s="18" t="n">
        <x:v>1.29</x:v>
      </x:c>
      <x:c r="G53" s="18" t="n">
        <x:f>ROUND(E53*F53,1)</x:f>
        <x:v>325</x:v>
      </x:c>
      <x:c r="H53" s="18" t="n">
        <x:f>ROUND(G53/'설정'!$B$2*60 + J53*'설정'!$B$3,0)</x:f>
        <x:v>370</x:v>
      </x:c>
      <x:c r="I53" s="17" t="str">
        <x:v>Y</x:v>
      </x:c>
      <x:c r="J53" s="19" t="n">
        <x:v>3</x:v>
      </x:c>
      <x:c r="K53" s="18" t="n">
        <x:f>ROUND(G53 + H53*'설정'!$B$4 + J53*'설정'!$B$5 + IF(I53="N",'설정'!$B$6,0),1)</x:f>
        <x:v>496</x:v>
      </x:c>
      <x:c r="L53" s="17" t="str">
        <x:v>시뮬레이션용 가상 작전거리. 실제 도로/API 값 아님</x:v>
      </x:c>
    </x:row>
    <x:row r="54">
      <x:c r="A54" s="17" t="str">
        <x:v>B06</x:v>
      </x:c>
      <x:c r="B54" s="17" t="str">
        <x:v>폭스트롯기지</x:v>
      </x:c>
      <x:c r="C54" s="17" t="str">
        <x:v>B04</x:v>
      </x:c>
      <x:c r="D54" s="17" t="str">
        <x:v>델타기지</x:v>
      </x:c>
      <x:c r="E54" s="18" t="n">
        <x:v>170.7</x:v>
      </x:c>
      <x:c r="F54" s="18" t="n">
        <x:v>1.28</x:v>
      </x:c>
      <x:c r="G54" s="18" t="n">
        <x:f>ROUND(E54*F54,1)</x:f>
        <x:v>218.5</x:v>
      </x:c>
      <x:c r="H54" s="18" t="n">
        <x:f>ROUND(G54/'설정'!$B$2*60 + J54*'설정'!$B$3,0)</x:f>
        <x:v>248</x:v>
      </x:c>
      <x:c r="I54" s="17" t="str">
        <x:v>Y</x:v>
      </x:c>
      <x:c r="J54" s="19" t="n">
        <x:v>2</x:v>
      </x:c>
      <x:c r="K54" s="18" t="n">
        <x:f>ROUND(G54 + H54*'설정'!$B$4 + J54*'설정'!$B$5 + IF(I54="N",'설정'!$B$6,0),1)</x:f>
        <x:v>332.9</x:v>
      </x:c>
      <x:c r="L54" s="17" t="str">
        <x:v>시뮬레이션용 가상 작전거리. 실제 도로/API 값 아님</x:v>
      </x:c>
    </x:row>
    <x:row r="55">
      <x:c r="A55" s="17" t="str">
        <x:v>B06</x:v>
      </x:c>
      <x:c r="B55" s="17" t="str">
        <x:v>폭스트롯기지</x:v>
      </x:c>
      <x:c r="C55" s="17" t="str">
        <x:v>B05</x:v>
      </x:c>
      <x:c r="D55" s="17" t="str">
        <x:v>에코기지</x:v>
      </x:c>
      <x:c r="E55" s="18" t="n">
        <x:v>101.8</x:v>
      </x:c>
      <x:c r="F55" s="18" t="n">
        <x:v>1.29</x:v>
      </x:c>
      <x:c r="G55" s="18" t="n">
        <x:f>ROUND(E55*F55,1)</x:f>
        <x:v>131.3</x:v>
      </x:c>
      <x:c r="H55" s="18" t="n">
        <x:f>ROUND(G55/'설정'!$B$2*60 + J55*'설정'!$B$3,0)</x:f>
        <x:v>153</x:v>
      </x:c>
      <x:c r="I55" s="17" t="str">
        <x:v>Y</x:v>
      </x:c>
      <x:c r="J55" s="19" t="n">
        <x:v>2</x:v>
      </x:c>
      <x:c r="K55" s="18" t="n">
        <x:f>ROUND(G55 + H55*'설정'!$B$4 + J55*'설정'!$B$5 + IF(I55="N",'설정'!$B$6,0),1)</x:f>
        <x:v>217.2</x:v>
      </x:c>
      <x:c r="L55" s="17" t="str">
        <x:v>시뮬레이션용 가상 작전거리. 실제 도로/API 값 아님</x:v>
      </x:c>
    </x:row>
    <x:row r="56">
      <x:c r="A56" s="17" t="str">
        <x:v>B06</x:v>
      </x:c>
      <x:c r="B56" s="17" t="str">
        <x:v>폭스트롯기지</x:v>
      </x:c>
      <x:c r="C56" s="17" t="str">
        <x:v>B07</x:v>
      </x:c>
      <x:c r="D56" s="17" t="str">
        <x:v>골프기지</x:v>
      </x:c>
      <x:c r="E56" s="18" t="n">
        <x:v>347.1</x:v>
      </x:c>
      <x:c r="F56" s="18" t="n">
        <x:v>1.25</x:v>
      </x:c>
      <x:c r="G56" s="18" t="n">
        <x:f>ROUND(E56*F56,1)</x:f>
        <x:v>433.9</x:v>
      </x:c>
      <x:c r="H56" s="18" t="n">
        <x:f>ROUND(G56/'설정'!$B$2*60 + J56*'설정'!$B$3,0)</x:f>
        <x:v>488</x:v>
      </x:c>
      <x:c r="I56" s="17" t="str">
        <x:v>Y</x:v>
      </x:c>
      <x:c r="J56" s="19" t="n">
        <x:v>3</x:v>
      </x:c>
      <x:c r="K56" s="18" t="n">
        <x:f>ROUND(G56 + H56*'설정'!$B$4 + J56*'설정'!$B$5 + IF(I56="N",'설정'!$B$6,0),1)</x:f>
        <x:v>640.3</x:v>
      </x:c>
      <x:c r="L56" s="17" t="str">
        <x:v>시뮬레이션용 가상 작전거리. 실제 도로/API 값 아님</x:v>
      </x:c>
    </x:row>
    <x:row r="57">
      <x:c r="A57" s="17" t="str">
        <x:v>B06</x:v>
      </x:c>
      <x:c r="B57" s="17" t="str">
        <x:v>폭스트롯기지</x:v>
      </x:c>
      <x:c r="C57" s="17" t="str">
        <x:v>B08</x:v>
      </x:c>
      <x:c r="D57" s="17" t="str">
        <x:v>호텔기지</x:v>
      </x:c>
      <x:c r="E57" s="18" t="n">
        <x:v>312.6</x:v>
      </x:c>
      <x:c r="F57" s="18" t="n">
        <x:v>1.27</x:v>
      </x:c>
      <x:c r="G57" s="18" t="n">
        <x:f>ROUND(E57*F57,1)</x:f>
        <x:v>397</x:v>
      </x:c>
      <x:c r="H57" s="18" t="n">
        <x:f>ROUND(G57/'설정'!$B$2*60 + J57*'설정'!$B$3,0)</x:f>
        <x:v>448</x:v>
      </x:c>
      <x:c r="I57" s="17" t="str">
        <x:v>Y</x:v>
      </x:c>
      <x:c r="J57" s="19" t="n">
        <x:v>3</x:v>
      </x:c>
      <x:c r="K57" s="18" t="n">
        <x:f>ROUND(G57 + H57*'설정'!$B$4 + J57*'설정'!$B$5 + IF(I57="N",'설정'!$B$6,0),1)</x:f>
        <x:v>591.4</x:v>
      </x:c>
      <x:c r="L57" s="17" t="str">
        <x:v>시뮬레이션용 가상 작전거리. 실제 도로/API 값 아님</x:v>
      </x:c>
    </x:row>
    <x:row r="58">
      <x:c r="A58" s="17" t="str">
        <x:v>B07</x:v>
      </x:c>
      <x:c r="B58" s="17" t="str">
        <x:v>골프기지</x:v>
      </x:c>
      <x:c r="C58" s="17" t="str">
        <x:v>DEPOT</x:v>
      </x:c>
      <x:c r="D58" s="17" t="str">
        <x:v>중앙보급기지</x:v>
      </x:c>
      <x:c r="E58" s="18" t="n">
        <x:v>178.6</x:v>
      </x:c>
      <x:c r="F58" s="18" t="n">
        <x:v>1.27</x:v>
      </x:c>
      <x:c r="G58" s="18" t="n">
        <x:f>ROUND(E58*F58,1)</x:f>
        <x:v>226.8</x:v>
      </x:c>
      <x:c r="H58" s="18" t="n">
        <x:f>ROUND(G58/'설정'!$B$2*60 + J58*'설정'!$B$3,0)</x:f>
        <x:v>252</x:v>
      </x:c>
      <x:c r="I58" s="17" t="str">
        <x:v>Y</x:v>
      </x:c>
      <x:c r="J58" s="19" t="n">
        <x:v>1</x:v>
      </x:c>
      <x:c r="K58" s="18" t="n">
        <x:f>ROUND(G58 + H58*'설정'!$B$4 + J58*'설정'!$B$5 + IF(I58="N",'설정'!$B$6,0),1)</x:f>
        <x:v>322.4</x:v>
      </x:c>
      <x:c r="L58" s="17" t="str">
        <x:v>시뮬레이션용 가상 작전거리. 실제 도로/API 값 아님</x:v>
      </x:c>
    </x:row>
    <x:row r="59">
      <x:c r="A59" s="17" t="str">
        <x:v>B07</x:v>
      </x:c>
      <x:c r="B59" s="17" t="str">
        <x:v>골프기지</x:v>
      </x:c>
      <x:c r="C59" s="17" t="str">
        <x:v>B01</x:v>
      </x:c>
      <x:c r="D59" s="17" t="str">
        <x:v>알파기지</x:v>
      </x:c>
      <x:c r="E59" s="18" t="n">
        <x:v>62</x:v>
      </x:c>
      <x:c r="F59" s="18" t="n">
        <x:v>1.35</x:v>
      </x:c>
      <x:c r="G59" s="18" t="n">
        <x:f>ROUND(E59*F59,1)</x:f>
        <x:v>83.7</x:v>
      </x:c>
      <x:c r="H59" s="18" t="n">
        <x:f>ROUND(G59/'설정'!$B$2*60 + J59*'설정'!$B$3,0)</x:f>
        <x:v>101</x:v>
      </x:c>
      <x:c r="I59" s="17" t="str">
        <x:v>Y</x:v>
      </x:c>
      <x:c r="J59" s="19" t="n">
        <x:v>2</x:v>
      </x:c>
      <x:c r="K59" s="18" t="n">
        <x:f>ROUND(G59 + H59*'설정'!$B$4 + J59*'설정'!$B$5 + IF(I59="N",'설정'!$B$6,0),1)</x:f>
        <x:v>154</x:v>
      </x:c>
      <x:c r="L59" s="17" t="str">
        <x:v>시뮬레이션용 가상 작전거리. 실제 도로/API 값 아님</x:v>
      </x:c>
    </x:row>
    <x:row r="60">
      <x:c r="A60" s="17" t="str">
        <x:v>B07</x:v>
      </x:c>
      <x:c r="B60" s="17" t="str">
        <x:v>골프기지</x:v>
      </x:c>
      <x:c r="C60" s="17" t="str">
        <x:v>B02</x:v>
      </x:c>
      <x:c r="D60" s="17" t="str">
        <x:v>브라보기지</x:v>
      </x:c>
      <x:c r="E60" s="18" t="n">
        <x:v>150.1</x:v>
      </x:c>
      <x:c r="F60" s="18" t="n">
        <x:v>1.28</x:v>
      </x:c>
      <x:c r="G60" s="18" t="n">
        <x:f>ROUND(E60*F60,1)</x:f>
        <x:v>192.1</x:v>
      </x:c>
      <x:c r="H60" s="18" t="n">
        <x:f>ROUND(G60/'설정'!$B$2*60 + J60*'설정'!$B$3,0)</x:f>
        <x:v>215</x:v>
      </x:c>
      <x:c r="I60" s="17" t="str">
        <x:v>Y</x:v>
      </x:c>
      <x:c r="J60" s="19" t="n">
        <x:v>1</x:v>
      </x:c>
      <x:c r="K60" s="18" t="n">
        <x:f>ROUND(G60 + H60*'설정'!$B$4 + J60*'설정'!$B$5 + IF(I60="N",'설정'!$B$6,0),1)</x:f>
        <x:v>276.6</x:v>
      </x:c>
      <x:c r="L60" s="17" t="str">
        <x:v>시뮬레이션용 가상 작전거리. 실제 도로/API 값 아님</x:v>
      </x:c>
    </x:row>
    <x:row r="61">
      <x:c r="A61" s="17" t="str">
        <x:v>B07</x:v>
      </x:c>
      <x:c r="B61" s="17" t="str">
        <x:v>골프기지</x:v>
      </x:c>
      <x:c r="C61" s="17" t="str">
        <x:v>B03</x:v>
      </x:c>
      <x:c r="D61" s="17" t="str">
        <x:v>찰리기지</x:v>
      </x:c>
      <x:c r="E61" s="18" t="n">
        <x:v>206.9</x:v>
      </x:c>
      <x:c r="F61" s="18" t="n">
        <x:v>1.3</x:v>
      </x:c>
      <x:c r="G61" s="18" t="n">
        <x:f>ROUND(E61*F61,1)</x:f>
        <x:v>269</x:v>
      </x:c>
      <x:c r="H61" s="18" t="n">
        <x:f>ROUND(G61/'설정'!$B$2*60 + J61*'설정'!$B$3,0)</x:f>
        <x:v>308</x:v>
      </x:c>
      <x:c r="I61" s="17" t="str">
        <x:v>Y</x:v>
      </x:c>
      <x:c r="J61" s="19" t="n">
        <x:v>3</x:v>
      </x:c>
      <x:c r="K61" s="18" t="n">
        <x:f>ROUND(G61 + H61*'설정'!$B$4 + J61*'설정'!$B$5 + IF(I61="N",'설정'!$B$6,0),1)</x:f>
        <x:v>421.4</x:v>
      </x:c>
      <x:c r="L61" s="17" t="str">
        <x:v>시뮬레이션용 가상 작전거리. 실제 도로/API 값 아님</x:v>
      </x:c>
    </x:row>
    <x:row r="62">
      <x:c r="A62" s="17" t="str">
        <x:v>B07</x:v>
      </x:c>
      <x:c r="B62" s="17" t="str">
        <x:v>골프기지</x:v>
      </x:c>
      <x:c r="C62" s="17" t="str">
        <x:v>B04</x:v>
      </x:c>
      <x:c r="D62" s="17" t="str">
        <x:v>델타기지</x:v>
      </x:c>
      <x:c r="E62" s="18" t="n">
        <x:v>223</x:v>
      </x:c>
      <x:c r="F62" s="18" t="n">
        <x:v>1.31</x:v>
      </x:c>
      <x:c r="G62" s="18" t="n">
        <x:f>ROUND(E62*F62,1)</x:f>
        <x:v>292.1</x:v>
      </x:c>
      <x:c r="H62" s="18" t="n">
        <x:f>ROUND(G62/'설정'!$B$2*60 + J62*'설정'!$B$3,0)</x:f>
        <x:v>329</x:v>
      </x:c>
      <x:c r="I62" s="17" t="str">
        <x:v>Y</x:v>
      </x:c>
      <x:c r="J62" s="19" t="n">
        <x:v>2</x:v>
      </x:c>
      <x:c r="K62" s="18" t="n">
        <x:f>ROUND(G62 + H62*'설정'!$B$4 + J62*'설정'!$B$5 + IF(I62="N",'설정'!$B$6,0),1)</x:f>
        <x:v>430.8</x:v>
      </x:c>
      <x:c r="L62" s="17" t="str">
        <x:v>시뮬레이션용 가상 작전거리. 실제 도로/API 값 아님</x:v>
      </x:c>
    </x:row>
    <x:row r="63">
      <x:c r="A63" s="17" t="str">
        <x:v>B07</x:v>
      </x:c>
      <x:c r="B63" s="17" t="str">
        <x:v>골프기지</x:v>
      </x:c>
      <x:c r="C63" s="17" t="str">
        <x:v>B05</x:v>
      </x:c>
      <x:c r="D63" s="17" t="str">
        <x:v>에코기지</x:v>
      </x:c>
      <x:c r="E63" s="18" t="n">
        <x:v>311.8</x:v>
      </x:c>
      <x:c r="F63" s="18" t="n">
        <x:v>1.19</x:v>
      </x:c>
      <x:c r="G63" s="18" t="n">
        <x:f>ROUND(E63*F63,1)</x:f>
        <x:v>371</x:v>
      </x:c>
      <x:c r="H63" s="18" t="n">
        <x:f>ROUND(G63/'설정'!$B$2*60 + J63*'설정'!$B$3,0)</x:f>
        <x:v>415</x:v>
      </x:c>
      <x:c r="I63" s="17" t="str">
        <x:v>N</x:v>
      </x:c>
      <x:c r="J63" s="19" t="n">
        <x:v>2</x:v>
      </x:c>
      <x:c r="K63" s="18" t="n">
        <x:f>ROUND(G63 + H63*'설정'!$B$4 + J63*'설정'!$B$5 + IF(I63="N",'설정'!$B$6,0),1)</x:f>
        <x:v>100535.5</x:v>
      </x:c>
      <x:c r="L63" s="17" t="str">
        <x:v>시뮬레이션용 가상 작전거리. 실제 도로/API 값 아님</x:v>
      </x:c>
    </x:row>
    <x:row r="64">
      <x:c r="A64" s="17" t="str">
        <x:v>B07</x:v>
      </x:c>
      <x:c r="B64" s="17" t="str">
        <x:v>골프기지</x:v>
      </x:c>
      <x:c r="C64" s="17" t="str">
        <x:v>B06</x:v>
      </x:c>
      <x:c r="D64" s="17" t="str">
        <x:v>폭스트롯기지</x:v>
      </x:c>
      <x:c r="E64" s="18" t="n">
        <x:v>347.1</x:v>
      </x:c>
      <x:c r="F64" s="18" t="n">
        <x:v>1.25</x:v>
      </x:c>
      <x:c r="G64" s="18" t="n">
        <x:f>ROUND(E64*F64,1)</x:f>
        <x:v>433.9</x:v>
      </x:c>
      <x:c r="H64" s="18" t="n">
        <x:f>ROUND(G64/'설정'!$B$2*60 + J64*'설정'!$B$3,0)</x:f>
        <x:v>488</x:v>
      </x:c>
      <x:c r="I64" s="17" t="str">
        <x:v>Y</x:v>
      </x:c>
      <x:c r="J64" s="19" t="n">
        <x:v>3</x:v>
      </x:c>
      <x:c r="K64" s="18" t="n">
        <x:f>ROUND(G64 + H64*'설정'!$B$4 + J64*'설정'!$B$5 + IF(I64="N",'설정'!$B$6,0),1)</x:f>
        <x:v>640.3</x:v>
      </x:c>
      <x:c r="L64" s="17" t="str">
        <x:v>시뮬레이션용 가상 작전거리. 실제 도로/API 값 아님</x:v>
      </x:c>
    </x:row>
    <x:row r="65">
      <x:c r="A65" s="17" t="str">
        <x:v>B07</x:v>
      </x:c>
      <x:c r="B65" s="17" t="str">
        <x:v>골프기지</x:v>
      </x:c>
      <x:c r="C65" s="17" t="str">
        <x:v>B08</x:v>
      </x:c>
      <x:c r="D65" s="17" t="str">
        <x:v>호텔기지</x:v>
      </x:c>
      <x:c r="E65" s="18" t="n">
        <x:v>86.1</x:v>
      </x:c>
      <x:c r="F65" s="18" t="n">
        <x:v>1.35</x:v>
      </x:c>
      <x:c r="G65" s="18" t="n">
        <x:f>ROUND(E65*F65,1)</x:f>
        <x:v>116.2</x:v>
      </x:c>
      <x:c r="H65" s="18" t="n">
        <x:f>ROUND(G65/'설정'!$B$2*60 + J65*'설정'!$B$3,0)</x:f>
        <x:v>137</x:v>
      </x:c>
      <x:c r="I65" s="17" t="str">
        <x:v>Y</x:v>
      </x:c>
      <x:c r="J65" s="19" t="n">
        <x:v>2</x:v>
      </x:c>
      <x:c r="K65" s="18" t="n">
        <x:f>ROUND(G65 + H65*'설정'!$B$4 + J65*'설정'!$B$5 + IF(I65="N",'설정'!$B$6,0),1)</x:f>
        <x:v>197.3</x:v>
      </x:c>
      <x:c r="L65" s="17" t="str">
        <x:v>시뮬레이션용 가상 작전거리. 실제 도로/API 값 아님</x:v>
      </x:c>
    </x:row>
    <x:row r="66">
      <x:c r="A66" s="17" t="str">
        <x:v>B08</x:v>
      </x:c>
      <x:c r="B66" s="17" t="str">
        <x:v>호텔기지</x:v>
      </x:c>
      <x:c r="C66" s="17" t="str">
        <x:v>DEPOT</x:v>
      </x:c>
      <x:c r="D66" s="17" t="str">
        <x:v>중앙보급기지</x:v>
      </x:c>
      <x:c r="E66" s="18" t="n">
        <x:v>140.9</x:v>
      </x:c>
      <x:c r="F66" s="18" t="n">
        <x:v>1.28</x:v>
      </x:c>
      <x:c r="G66" s="18" t="n">
        <x:f>ROUND(E66*F66,1)</x:f>
        <x:v>180.4</x:v>
      </x:c>
      <x:c r="H66" s="18" t="n">
        <x:f>ROUND(G66/'설정'!$B$2*60 + J66*'설정'!$B$3,0)</x:f>
        <x:v>207</x:v>
      </x:c>
      <x:c r="I66" s="17" t="str">
        <x:v>Y</x:v>
      </x:c>
      <x:c r="J66" s="19" t="n">
        <x:v>2</x:v>
      </x:c>
      <x:c r="K66" s="18" t="n">
        <x:f>ROUND(G66 + H66*'설정'!$B$4 + J66*'설정'!$B$5 + IF(I66="N",'설정'!$B$6,0),1)</x:f>
        <x:v>282.5</x:v>
      </x:c>
      <x:c r="L66" s="17" t="str">
        <x:v>시뮬레이션용 가상 작전거리. 실제 도로/API 값 아님</x:v>
      </x:c>
    </x:row>
    <x:row r="67">
      <x:c r="A67" s="17" t="str">
        <x:v>B08</x:v>
      </x:c>
      <x:c r="B67" s="17" t="str">
        <x:v>호텔기지</x:v>
      </x:c>
      <x:c r="C67" s="17" t="str">
        <x:v>B01</x:v>
      </x:c>
      <x:c r="D67" s="17" t="str">
        <x:v>알파기지</x:v>
      </x:c>
      <x:c r="E67" s="18" t="n">
        <x:v>114.3</x:v>
      </x:c>
      <x:c r="F67" s="18" t="n">
        <x:v>1.28</x:v>
      </x:c>
      <x:c r="G67" s="18" t="n">
        <x:f>ROUND(E67*F67,1)</x:f>
        <x:v>146.3</x:v>
      </x:c>
      <x:c r="H67" s="18" t="n">
        <x:f>ROUND(G67/'설정'!$B$2*60 + J67*'설정'!$B$3,0)</x:f>
        <x:v>165</x:v>
      </x:c>
      <x:c r="I67" s="17" t="str">
        <x:v>Y</x:v>
      </x:c>
      <x:c r="J67" s="19" t="n">
        <x:v>1</x:v>
      </x:c>
      <x:c r="K67" s="18" t="n">
        <x:f>ROUND(G67 + H67*'설정'!$B$4 + J67*'설정'!$B$5 + IF(I67="N",'설정'!$B$6,0),1)</x:f>
        <x:v>215.8</x:v>
      </x:c>
      <x:c r="L67" s="17" t="str">
        <x:v>시뮬레이션용 가상 작전거리. 실제 도로/API 값 아님</x:v>
      </x:c>
    </x:row>
    <x:row r="68">
      <x:c r="A68" s="17" t="str">
        <x:v>B08</x:v>
      </x:c>
      <x:c r="B68" s="17" t="str">
        <x:v>호텔기지</x:v>
      </x:c>
      <x:c r="C68" s="17" t="str">
        <x:v>B02</x:v>
      </x:c>
      <x:c r="D68" s="17" t="str">
        <x:v>브라보기지</x:v>
      </x:c>
      <x:c r="E68" s="18" t="n">
        <x:v>177</x:v>
      </x:c>
      <x:c r="F68" s="18" t="n">
        <x:v>1.3</x:v>
      </x:c>
      <x:c r="G68" s="18" t="n">
        <x:f>ROUND(E68*F68,1)</x:f>
        <x:v>230.1</x:v>
      </x:c>
      <x:c r="H68" s="18" t="n">
        <x:f>ROUND(G68/'설정'!$B$2*60 + J68*'설정'!$B$3,0)</x:f>
        <x:v>261</x:v>
      </x:c>
      <x:c r="I68" s="17" t="str">
        <x:v>Y</x:v>
      </x:c>
      <x:c r="J68" s="19" t="n">
        <x:v>2</x:v>
      </x:c>
      <x:c r="K68" s="18" t="n">
        <x:f>ROUND(G68 + H68*'설정'!$B$4 + J68*'설정'!$B$5 + IF(I68="N",'설정'!$B$6,0),1)</x:f>
        <x:v>348.4</x:v>
      </x:c>
      <x:c r="L68" s="17" t="str">
        <x:v>시뮬레이션용 가상 작전거리. 실제 도로/API 값 아님</x:v>
      </x:c>
    </x:row>
    <x:row r="69">
      <x:c r="A69" s="17" t="str">
        <x:v>B08</x:v>
      </x:c>
      <x:c r="B69" s="17" t="str">
        <x:v>호텔기지</x:v>
      </x:c>
      <x:c r="C69" s="17" t="str">
        <x:v>B03</x:v>
      </x:c>
      <x:c r="D69" s="17" t="str">
        <x:v>찰리기지</x:v>
      </x:c>
      <x:c r="E69" s="18" t="n">
        <x:v>244.7</x:v>
      </x:c>
      <x:c r="F69" s="18" t="n">
        <x:v>1.31</x:v>
      </x:c>
      <x:c r="G69" s="18" t="n">
        <x:f>ROUND(E69*F69,1)</x:f>
        <x:v>320.6</x:v>
      </x:c>
      <x:c r="H69" s="18" t="n">
        <x:f>ROUND(G69/'설정'!$B$2*60 + J69*'설정'!$B$3,0)</x:f>
        <x:v>365</x:v>
      </x:c>
      <x:c r="I69" s="17" t="str">
        <x:v>N</x:v>
      </x:c>
      <x:c r="J69" s="19" t="n">
        <x:v>3</x:v>
      </x:c>
      <x:c r="K69" s="18" t="n">
        <x:f>ROUND(G69 + H69*'설정'!$B$4 + J69*'설정'!$B$5 + IF(I69="N",'설정'!$B$6,0),1)</x:f>
        <x:v>100490.1</x:v>
      </x:c>
      <x:c r="L69" s="17" t="str">
        <x:v>시뮬레이션용 가상 작전거리. 실제 도로/API 값 아님</x:v>
      </x:c>
    </x:row>
    <x:row r="70">
      <x:c r="A70" s="17" t="str">
        <x:v>B08</x:v>
      </x:c>
      <x:c r="B70" s="17" t="str">
        <x:v>호텔기지</x:v>
      </x:c>
      <x:c r="C70" s="17" t="str">
        <x:v>B04</x:v>
      </x:c>
      <x:c r="D70" s="17" t="str">
        <x:v>델타기지</x:v>
      </x:c>
      <x:c r="E70" s="18" t="n">
        <x:v>230.5</x:v>
      </x:c>
      <x:c r="F70" s="18" t="n">
        <x:v>1.23</x:v>
      </x:c>
      <x:c r="G70" s="18" t="n">
        <x:f>ROUND(E70*F70,1)</x:f>
        <x:v>283.5</x:v>
      </x:c>
      <x:c r="H70" s="18" t="n">
        <x:f>ROUND(G70/'설정'!$B$2*60 + J70*'설정'!$B$3,0)</x:f>
        <x:v>314</x:v>
      </x:c>
      <x:c r="I70" s="17" t="str">
        <x:v>Y</x:v>
      </x:c>
      <x:c r="J70" s="19" t="n">
        <x:v>1</x:v>
      </x:c>
      <x:c r="K70" s="18" t="n">
        <x:f>ROUND(G70 + H70*'설정'!$B$4 + J70*'설정'!$B$5 + IF(I70="N",'설정'!$B$6,0),1)</x:f>
        <x:v>397.7</x:v>
      </x:c>
      <x:c r="L70" s="17" t="str">
        <x:v>시뮬레이션용 가상 작전거리. 실제 도로/API 값 아님</x:v>
      </x:c>
    </x:row>
    <x:row r="71">
      <x:c r="A71" s="17" t="str">
        <x:v>B08</x:v>
      </x:c>
      <x:c r="B71" s="17" t="str">
        <x:v>호텔기지</x:v>
      </x:c>
      <x:c r="C71" s="17" t="str">
        <x:v>B05</x:v>
      </x:c>
      <x:c r="D71" s="17" t="str">
        <x:v>에코기지</x:v>
      </x:c>
      <x:c r="E71" s="18" t="n">
        <x:v>255.7</x:v>
      </x:c>
      <x:c r="F71" s="18" t="n">
        <x:v>1.2</x:v>
      </x:c>
      <x:c r="G71" s="18" t="n">
        <x:f>ROUND(E71*F71,1)</x:f>
        <x:v>306.8</x:v>
      </x:c>
      <x:c r="H71" s="18" t="n">
        <x:f>ROUND(G71/'설정'!$B$2*60 + J71*'설정'!$B$3,0)</x:f>
        <x:v>345</x:v>
      </x:c>
      <x:c r="I71" s="17" t="str">
        <x:v>Y</x:v>
      </x:c>
      <x:c r="J71" s="19" t="n">
        <x:v>2</x:v>
      </x:c>
      <x:c r="K71" s="18" t="n">
        <x:f>ROUND(G71 + H71*'설정'!$B$4 + J71*'설정'!$B$5 + IF(I71="N",'설정'!$B$6,0),1)</x:f>
        <x:v>450.3</x:v>
      </x:c>
      <x:c r="L71" s="17" t="str">
        <x:v>시뮬레이션용 가상 작전거리. 실제 도로/API 값 아님</x:v>
      </x:c>
    </x:row>
    <x:row r="72">
      <x:c r="A72" s="17" t="str">
        <x:v>B08</x:v>
      </x:c>
      <x:c r="B72" s="17" t="str">
        <x:v>호텔기지</x:v>
      </x:c>
      <x:c r="C72" s="17" t="str">
        <x:v>B06</x:v>
      </x:c>
      <x:c r="D72" s="17" t="str">
        <x:v>폭스트롯기지</x:v>
      </x:c>
      <x:c r="E72" s="18" t="n">
        <x:v>312.6</x:v>
      </x:c>
      <x:c r="F72" s="18" t="n">
        <x:v>1.27</x:v>
      </x:c>
      <x:c r="G72" s="18" t="n">
        <x:f>ROUND(E72*F72,1)</x:f>
        <x:v>397</x:v>
      </x:c>
      <x:c r="H72" s="18" t="n">
        <x:f>ROUND(G72/'설정'!$B$2*60 + J72*'설정'!$B$3,0)</x:f>
        <x:v>448</x:v>
      </x:c>
      <x:c r="I72" s="17" t="str">
        <x:v>Y</x:v>
      </x:c>
      <x:c r="J72" s="19" t="n">
        <x:v>3</x:v>
      </x:c>
      <x:c r="K72" s="18" t="n">
        <x:f>ROUND(G72 + H72*'설정'!$B$4 + J72*'설정'!$B$5 + IF(I72="N",'설정'!$B$6,0),1)</x:f>
        <x:v>591.4</x:v>
      </x:c>
      <x:c r="L72" s="17" t="str">
        <x:v>시뮬레이션용 가상 작전거리. 실제 도로/API 값 아님</x:v>
      </x:c>
    </x:row>
    <x:row r="73">
      <x:c r="A73" s="17" t="str">
        <x:v>B08</x:v>
      </x:c>
      <x:c r="B73" s="17" t="str">
        <x:v>호텔기지</x:v>
      </x:c>
      <x:c r="C73" s="17" t="str">
        <x:v>B07</x:v>
      </x:c>
      <x:c r="D73" s="17" t="str">
        <x:v>골프기지</x:v>
      </x:c>
      <x:c r="E73" s="18" t="n">
        <x:v>86.1</x:v>
      </x:c>
      <x:c r="F73" s="18" t="n">
        <x:v>1.35</x:v>
      </x:c>
      <x:c r="G73" s="18" t="n">
        <x:f>ROUND(E73*F73,1)</x:f>
        <x:v>116.2</x:v>
      </x:c>
      <x:c r="H73" s="18" t="n">
        <x:f>ROUND(G73/'설정'!$B$2*60 + J73*'설정'!$B$3,0)</x:f>
        <x:v>137</x:v>
      </x:c>
      <x:c r="I73" s="17" t="str">
        <x:v>Y</x:v>
      </x:c>
      <x:c r="J73" s="19" t="n">
        <x:v>2</x:v>
      </x:c>
      <x:c r="K73" s="18" t="n">
        <x:f>ROUND(G73 + H73*'설정'!$B$4 + J73*'설정'!$B$5 + IF(I73="N",'설정'!$B$6,0),1)</x:f>
        <x:v>197.3</x:v>
      </x:c>
      <x:c r="L73" s="17" t="str">
        <x:v>시뮬레이션용 가상 작전거리. 실제 도로/API 값 아님</x:v>
      </x:c>
    </x:row>
  </x:sheetData>
  <x:conditionalFormatting sqref="J2:J73">
    <x:cfRule type="colorScale" priority="1">
      <x:colorScale>
        <x:cfvo type="min"/>
        <x:cfvo type="percentile" val="50"/>
        <x:cfvo type="max"/>
        <x:color rgb="C6EFCE"/>
        <x:color rgb="FFEB9C"/>
        <x:color rgb="FFC7CE"/>
      </x:colorScale>
    </x:cfRule>
  </x:conditionalFormatting>
  <x:conditionalFormatting sqref="K2:K73">
    <x:cfRule type="colorScale" priority="2">
      <x:colorScale>
        <x:cfvo type="min"/>
        <x:cfvo type="percentile" val="50"/>
        <x:cfvo type="max"/>
        <x:color rgb="C6EFCE"/>
        <x:color rgb="FFEB9C"/>
        <x:color rgb="FFC7CE"/>
      </x:colorScale>
    </x:cfRule>
  </x:conditionalFormatting>
  <x:conditionalFormatting sqref="I2:I73">
    <x:cfRule type="expression" dxfId="0" priority="3">
      <x:formula>I2="N"</x:formula>
    </x:cfRule>
  </x:conditionalFormatting>
  <x:dataValidations count="2">
    <x:dataValidation type="list" sqref="I2:I73">
      <x:formula1>"Y,N"</x:formula1>
    </x:dataValidation>
    <x:dataValidation type="list" sqref="J2:J73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d80bde1b57406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48" hidden="0" customWidth="1"/>
    <x:col min="5" max="5" width="14" hidden="0" customWidth="1"/>
    <x:col min="6" max="6" width="10" hidden="0" customWidth="1"/>
  </x:cols>
  <x:sheetData>
    <x:row r="1">
      <x:c r="A1" s="8" t="str">
        <x:v>항목</x:v>
      </x:c>
      <x:c r="B1" s="8" t="str">
        <x:v>값</x:v>
      </x:c>
      <x:c r="C1" s="16" t="str">
        <x:v>설명</x:v>
      </x:c>
      <x:c r="E1" s="4" t="str">
        <x:v>도로위험도</x:v>
      </x:c>
      <x:c r="F1" s="4" t="str">
        <x:v>구간 수</x:v>
      </x:c>
    </x:row>
    <x:row r="2">
      <x:c r="A2" t="str">
        <x:v>총 구간 수</x:v>
      </x:c>
      <x:c r="B2" s="10" t="n">
        <x:f>COUNTA('기지간_작전거리정보'!A2:A73)</x:f>
        <x:v>72</x:v>
      </x:c>
      <x:c r="C2" t="str">
        <x:v>자기 자신을 제외한 양방향 구간 수</x:v>
      </x:c>
      <x:c r="E2" t="n">
        <x:v>1</x:v>
      </x:c>
      <x:c r="F2" t="n">
        <x:f>B7</x:f>
        <x:v>22</x:v>
      </x:c>
    </x:row>
    <x:row r="3">
      <x:c r="A3" t="str">
        <x:v>평균 도로거리km</x:v>
      </x:c>
      <x:c r="B3" s="10" t="n">
        <x:f>ROUND(AVERAGE('기지간_작전거리정보'!G2:G73),1)</x:f>
        <x:v>229.6</x:v>
      </x:c>
      <x:c r="C3" t="str">
        <x:v>도로계수 반영 거리 평균</x:v>
      </x:c>
      <x:c r="E3" t="n">
        <x:v>2</x:v>
      </x:c>
      <x:c r="F3" t="n">
        <x:f>B8</x:f>
        <x:v>26</x:v>
      </x:c>
    </x:row>
    <x:row r="4">
      <x:c r="A4" t="str">
        <x:v>평균 예상소요시간분</x:v>
      </x:c>
      <x:c r="B4" s="10" t="n">
        <x:f>ROUND(AVERAGE('기지간_작전거리정보'!H2:H73),0)</x:f>
        <x:v>261</x:v>
      </x:c>
      <x:c r="C4" t="str">
        <x:v>예상 소요시간 평균</x:v>
      </x:c>
      <x:c r="E4" t="n">
        <x:v>3</x:v>
      </x:c>
      <x:c r="F4" t="n">
        <x:f>B9</x:f>
        <x:v>24</x:v>
      </x:c>
    </x:row>
    <x:row r="5">
      <x:c r="A5" t="str">
        <x:v>평균 도로위험도</x:v>
      </x:c>
      <x:c r="B5" s="10" t="n">
        <x:f>ROUND(AVERAGE('기지간_작전거리정보'!J2:J73),2)</x:f>
        <x:v>2.03</x:v>
      </x:c>
      <x:c r="C5" t="str">
        <x:v>도로위험도 평균</x:v>
      </x:c>
      <x:c r="E5" t="n">
        <x:v>4</x:v>
      </x:c>
      <x:c r="F5" t="n">
        <x:f>B10</x:f>
        <x:v>0</x:v>
      </x:c>
    </x:row>
    <x:row r="6">
      <x:c r="A6" t="str">
        <x:v>통행 제한 구간 수</x:v>
      </x:c>
      <x:c r="B6" s="10" t="n">
        <x:f>COUNTIF('기지간_작전거리정보'!I2:I73,"N")</x:f>
        <x:v>4</x:v>
      </x:c>
      <x:c r="C6" t="str">
        <x:v>통행가능여부가 N인 구간 수</x:v>
      </x:c>
      <x:c r="E6" t="n">
        <x:v>5</x:v>
      </x:c>
      <x:c r="F6" t="n">
        <x:f>B11</x:f>
        <x:v>0</x:v>
      </x:c>
    </x:row>
    <x:row r="7">
      <x:c r="A7" t="str">
        <x:v>위험도 1 구간 수</x:v>
      </x:c>
      <x:c r="B7" s="10" t="n">
        <x:f>COUNTIF('기지간_작전거리정보'!J2:J73,1)</x:f>
        <x:v>22</x:v>
      </x:c>
      <x:c r="C7" t="str"/>
    </x:row>
    <x:row r="8">
      <x:c r="A8" t="str">
        <x:v>위험도 2 구간 수</x:v>
      </x:c>
      <x:c r="B8" s="10" t="n">
        <x:f>COUNTIF('기지간_작전거리정보'!J2:J73,2)</x:f>
        <x:v>26</x:v>
      </x:c>
      <x:c r="C8" t="str"/>
    </x:row>
    <x:row r="9">
      <x:c r="A9" t="str">
        <x:v>위험도 3 구간 수</x:v>
      </x:c>
      <x:c r="B9" s="10" t="n">
        <x:f>COUNTIF('기지간_작전거리정보'!J2:J73,3)</x:f>
        <x:v>24</x:v>
      </x:c>
      <x:c r="C9" t="str"/>
    </x:row>
    <x:row r="10">
      <x:c r="A10" t="str">
        <x:v>위험도 4 구간 수</x:v>
      </x:c>
      <x:c r="B10" s="10" t="n">
        <x:f>COUNTIF('기지간_작전거리정보'!J2:J73,4)</x:f>
        <x:v>0</x:v>
      </x:c>
      <x:c r="C10" t="str"/>
    </x:row>
    <x:row r="11">
      <x:c r="A11" t="str">
        <x:v>위험도 5 구간 수</x:v>
      </x:c>
      <x:c r="B11" s="10" t="n">
        <x:f>COUNTIF('기지간_작전거리정보'!J2:J73,5)</x:f>
        <x:v>0</x:v>
      </x:c>
      <x:c r="C11" t="str"/>
    </x:row>
  </x:sheetData>
  <x:pageMargins left="0.7" right="0.7" top="0.75" bottom="0.75" header="0.3" footer="0.3"/>
  <x:drawing xmlns:r="http://schemas.openxmlformats.org/officeDocument/2006/relationships" r:id="R9fe54f1adc9f4d0c"/>
  <x:tableParts count="1">
    <x:tablePart xmlns:r="http://schemas.openxmlformats.org/officeDocument/2006/relationships" r:id="Rec66509df1d14ec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48" hidden="0" customWidth="1"/>
  </x:cols>
  <x:sheetData>
    <x:row r="1">
      <x:c r="A1" s="8" t="str">
        <x:v>항목</x:v>
      </x:c>
      <x:c r="B1" s="8" t="str">
        <x:v>값</x:v>
      </x:c>
      <x:c r="C1" s="16" t="str">
        <x:v>설명</x:v>
      </x:c>
    </x:row>
    <x:row r="2">
      <x:c r="A2" t="str">
        <x:v>평균주행속도kmh</x:v>
      </x:c>
      <x:c r="B2" s="14" t="n">
        <x:v>55</x:v>
      </x:c>
      <x:c r="C2" t="str">
        <x:v>예상소요시간 산정용 평균 속도입니다. 필요 시 수정합니다.</x:v>
      </x:c>
    </x:row>
    <x:row r="3">
      <x:c r="A3" t="str">
        <x:v>위험도별추가지연분</x:v>
      </x:c>
      <x:c r="B3" s="14" t="n">
        <x:v>5</x:v>
      </x:c>
      <x:c r="C3" t="str">
        <x:v>도로위험도 1점당 추가 지연 시간입니다.</x:v>
      </x:c>
    </x:row>
    <x:row r="4">
      <x:c r="A4" t="str">
        <x:v>시간가중치</x:v>
      </x:c>
      <x:c r="B4" s="14" t="n">
        <x:v>0.3</x:v>
      </x:c>
      <x:c r="C4" t="str">
        <x:v>작전비용에서 예상소요시간분에 곱하는 값입니다.</x:v>
      </x:c>
    </x:row>
    <x:row r="5">
      <x:c r="A5" t="str">
        <x:v>위험도패널티</x:v>
      </x:c>
      <x:c r="B5" s="14" t="n">
        <x:v>20</x:v>
      </x:c>
      <x:c r="C5" t="str">
        <x:v>작전비용에서 도로위험도에 곱하는 값입니다.</x:v>
      </x:c>
    </x:row>
    <x:row r="6">
      <x:c r="A6" t="str">
        <x:v>통행불가패널티</x:v>
      </x:c>
      <x:c r="B6" s="14" t="n">
        <x:v>100000</x:v>
      </x:c>
      <x:c r="C6" t="str">
        <x:v>통행가능여부가 N인 구간에 부여되는 큰 패널티입니다.</x:v>
      </x:c>
    </x:row>
    <x:row r="7">
      <x:c r="A7" t="str">
        <x:v>작성일</x:v>
      </x:c>
      <x:c r="B7" t="str">
        <x:v>2026-05-17</x:v>
      </x:c>
      <x:c r="C7" t="str">
        <x:v>파일 생성일입니다.</x:v>
      </x:c>
    </x:row>
    <x:row r="8">
      <x:c r="A8" t="str">
        <x:v>주의</x:v>
      </x:c>
      <x:c r="B8" t="str">
        <x:v>가상데이터</x:v>
      </x:c>
      <x:c r="C8" t="str">
        <x:v>이 파일의 값은 실제 도로/API 조회값이 아니라 시뮬레이션용입니다.</x:v>
      </x:c>
    </x:row>
  </x:sheetData>
  <x:pageMargins left="0.7" right="0.7" top="0.75" bottom="0.75" header="0.3" footer="0.3"/>
  <x:tableParts count="1">
    <x:tablePart xmlns:r="http://schemas.openxmlformats.org/officeDocument/2006/relationships" r:id="R01fbd4a79e5044d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48" hidden="0" customWidth="1"/>
  </x:cols>
  <x:sheetData>
    <x:row r="1">
      <x:c r="A1" s="8" t="str">
        <x:v>도로위험도</x:v>
      </x:c>
      <x:c r="B1" s="16" t="str">
        <x:v>의미</x:v>
      </x:c>
      <x:c r="C1" s="16" t="str">
        <x:v>예시 기준</x:v>
      </x:c>
      <x:c r="D1" s="16" t="str">
        <x:v>알고리즘 반영 방식</x:v>
      </x:c>
    </x:row>
    <x:row r="2">
      <x:c r="A2" t="n">
        <x:v>1</x:v>
      </x:c>
      <x:c r="B2" t="str">
        <x:v>낮음</x:v>
      </x:c>
      <x:c r="C2" t="str">
        <x:v>고속화·평탄·통행 안정 구간</x:v>
      </x:c>
      <x:c r="D2" t="str">
        <x:v>낮은 패널티</x:v>
      </x:c>
    </x:row>
    <x:row r="3">
      <x:c r="A3" t="n">
        <x:v>2</x:v>
      </x:c>
      <x:c r="B3" t="str">
        <x:v>보통</x:v>
      </x:c>
      <x:c r="C3" t="str">
        <x:v>일반 국도·시내 통과 일부 포함</x:v>
      </x:c>
      <x:c r="D3" t="str">
        <x:v>기본 패널티</x:v>
      </x:c>
    </x:row>
    <x:row r="4">
      <x:c r="A4" t="n">
        <x:v>3</x:v>
      </x:c>
      <x:c r="B4" t="str">
        <x:v>주의</x:v>
      </x:c>
      <x:c r="C4" t="str">
        <x:v>우회 가능성, 경사·곡선 또는 장거리 구간</x:v>
      </x:c>
      <x:c r="D4" t="str">
        <x:v>중간 패널티</x:v>
      </x:c>
    </x:row>
    <x:row r="5">
      <x:c r="A5" t="n">
        <x:v>4</x:v>
      </x:c>
      <x:c r="B5" t="str">
        <x:v>위험</x:v>
      </x:c>
      <x:c r="C5" t="str">
        <x:v>유조차 운행 부담, 산악·해안 우회 또는 통제 가능성</x:v>
      </x:c>
      <x:c r="D5" t="str">
        <x:v>높은 패널티</x:v>
      </x:c>
    </x:row>
    <x:row r="6">
      <x:c r="A6" t="n">
        <x:v>5</x:v>
      </x:c>
      <x:c r="B6" t="str">
        <x:v>회피 권고</x:v>
      </x:c>
      <x:c r="C6" t="str">
        <x:v>통행 제한 또는 작전상 위험이 큰 구간</x:v>
      </x:c>
      <x:c r="D6" t="str">
        <x:v>매우 높은 패널티 또는 우회</x:v>
      </x:c>
    </x:row>
  </x:sheetData>
  <x:pageMargins left="0.7" right="0.7" top="0.75" bottom="0.75" header="0.3" footer="0.3"/>
  <x:tableParts count="1">
    <x:tablePart xmlns:r="http://schemas.openxmlformats.org/officeDocument/2006/relationships" r:id="R31282f9f1070420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0" hidden="0" customWidth="1"/>
    <x:col min="2" max="2" width="20" hidden="0" customWidth="1"/>
    <x:col min="3" max="3" width="48" hidden="0" customWidth="1"/>
  </x:cols>
  <x:sheetData>
    <x:row r="1">
      <x:c r="A1" s="17" t="str">
        <x:v>기지간_작전거리정보.xlsx 사용 안내</x:v>
      </x:c>
    </x:row>
    <x:row r="2">
      <x:c r="A2" t="str"/>
    </x:row>
    <x:row r="3">
      <x:c r="A3" t="str">
        <x:v>1. 이 파일은 POL 수송 최적화 코드에서 직선거리 대신 작전거리정보를 사용하기 위한 입력 파일입니다.</x:v>
      </x:c>
    </x:row>
    <x:row r="4">
      <x:c r="A4" t="str">
        <x:v>2. 현재 값은 실제 도로 API 조회값이 아니라 위도·경도 기반 직선거리에 도로계수, 위험도, 제한 여부를 붙인 시뮬레이션용 가상 데이터입니다.</x:v>
      </x:c>
    </x:row>
    <x:row r="5">
      <x:c r="A5" t="str">
        <x:v>3. 실제 적용 시에는 도로거리km, 예상소요시간분, 통행가능여부, 도로위험도 값을 실제 자료로 교체하면 됩니다.</x:v>
      </x:c>
    </x:row>
    <x:row r="6">
      <x:c r="A6" t="str">
        <x:v>4. 통행가능여부가 N인 구간은 작전비용점수에 큰 패널티가 붙도록 설정되어 있습니다.</x:v>
      </x:c>
    </x:row>
    <x:row r="7">
      <x:c r="A7" t="str">
        <x:v>5. 도로위험도는 1 낮음 ~ 5 회피 권고 수준으로 입력합니다.</x:v>
      </x:c>
    </x:row>
  </x:sheetData>
  <x:pageMargins left="0.7" right="0.7" top="0.75" bottom="0.75" header="0.3" footer="0.3"/>
</x:worksheet>
</file>